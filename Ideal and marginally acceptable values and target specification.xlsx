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<sst xmlns="http://schemas.openxmlformats.org/spreadsheetml/2006/main" count="284" uniqueCount="152">
  <si>
    <t>Metric No.</t>
  </si>
  <si>
    <t>Needs No.</t>
  </si>
  <si>
    <t>Metric</t>
  </si>
  <si>
    <t>Importance</t>
  </si>
  <si>
    <t>units</t>
  </si>
  <si>
    <t>Marginal Value</t>
  </si>
  <si>
    <t>Ideal Value</t>
  </si>
  <si>
    <t>26, 27</t>
  </si>
  <si>
    <t>Power Output (Wattage)</t>
  </si>
  <si>
    <t>Watts (W)</t>
  </si>
  <si>
    <t>&lt;100</t>
  </si>
  <si>
    <t>Efficiency</t>
  </si>
  <si>
    <t>Percentage (%)</t>
  </si>
  <si>
    <t>&lt;24</t>
  </si>
  <si>
    <t>Weight</t>
  </si>
  <si>
    <t>Kilograms (kg) or Pounds (lbs)</t>
  </si>
  <si>
    <t>&lt;20kg</t>
  </si>
  <si>
    <t>&lt;7kg</t>
  </si>
  <si>
    <t>27, 30</t>
  </si>
  <si>
    <t>Unfolded Dimensions</t>
  </si>
  <si>
    <t>Centimeters (cm) or Inches (in)</t>
  </si>
  <si>
    <t>&lt;2340*552*25</t>
  </si>
  <si>
    <t>250*50*2.5cm</t>
  </si>
  <si>
    <t>30, 5, 10</t>
  </si>
  <si>
    <t>Folded Dimensions</t>
  </si>
  <si>
    <t xml:space="preserve">Centimeters (cm) </t>
  </si>
  <si>
    <t>(100*70)</t>
  </si>
  <si>
    <t>(65.0*55.2)</t>
  </si>
  <si>
    <t>11, 12, 13, 19, 24, 32, 31</t>
  </si>
  <si>
    <t>Material Durability</t>
  </si>
  <si>
    <t>IP Rating</t>
  </si>
  <si>
    <t>IP 65-68</t>
  </si>
  <si>
    <t>IP68</t>
  </si>
  <si>
    <t>31, 32</t>
  </si>
  <si>
    <t>Temperature Range</t>
  </si>
  <si>
    <t>Degrees Celsius (°C)</t>
  </si>
  <si>
    <t>(-10)-(+40)</t>
  </si>
  <si>
    <t>(-40)-(+85)</t>
  </si>
  <si>
    <t>Output Voltage</t>
  </si>
  <si>
    <t>Volts (V)</t>
  </si>
  <si>
    <t>5V DC,12V DC ,120V AC</t>
  </si>
  <si>
    <t>5V DC,12V DC</t>
  </si>
  <si>
    <t>30, 26, 27, 29, 21, 20</t>
  </si>
  <si>
    <t>Battery Type</t>
  </si>
  <si>
    <t>LiFePO4</t>
  </si>
  <si>
    <t>Li-ion NMC</t>
  </si>
  <si>
    <t>10, 18, 20, 21, 21,29</t>
  </si>
  <si>
    <t>Battery Capacity</t>
  </si>
  <si>
    <t>Watt-hours (Wh) or Ampere-hours (Ah)</t>
  </si>
  <si>
    <t>700,1600 Wh</t>
  </si>
  <si>
    <t>240 Wh</t>
  </si>
  <si>
    <t>15, 17, 27, 29</t>
  </si>
  <si>
    <t>Charging Time (from solar panel)</t>
  </si>
  <si>
    <t>Hours (h)</t>
  </si>
  <si>
    <t>&lt;8</t>
  </si>
  <si>
    <t>&lt;2</t>
  </si>
  <si>
    <t>Discharge Time</t>
  </si>
  <si>
    <t>28, 20</t>
  </si>
  <si>
    <t>Number of Output Ports</t>
  </si>
  <si>
    <t>Count</t>
  </si>
  <si>
    <t>&gt;USB-A=1 , &gt;USB-C=2</t>
  </si>
  <si>
    <t xml:space="preserve">USB-A=2 , USB-C=4 </t>
  </si>
  <si>
    <t>Input Voltage and Current</t>
  </si>
  <si>
    <t>Volts (V) and Amperes (A)</t>
  </si>
  <si>
    <t>14-50V,upto 25A</t>
  </si>
  <si>
    <t>12-28V,4A</t>
  </si>
  <si>
    <t>Cycle Life</t>
  </si>
  <si>
    <t>Charge Cycles</t>
  </si>
  <si>
    <t>&gt;500</t>
  </si>
  <si>
    <t>&gt;3000</t>
  </si>
  <si>
    <t>2, 5, 8,11, 13, 18, 28</t>
  </si>
  <si>
    <t>Additional Features</t>
  </si>
  <si>
    <t>Descriptions</t>
  </si>
  <si>
    <t>LCD display,light indicators,mobile app conectivity via bluetooth</t>
  </si>
  <si>
    <t>LED,more portability,</t>
  </si>
  <si>
    <t>23, 24, 25, 14, 11, 15, 29, 31</t>
  </si>
  <si>
    <t>Price</t>
  </si>
  <si>
    <t>Currency (e.g., USD)</t>
  </si>
  <si>
    <t>&lt;USD(300)</t>
  </si>
  <si>
    <t>USD(150-200)</t>
  </si>
  <si>
    <t>30, 24, 16, 10</t>
  </si>
  <si>
    <t>Mounting Options</t>
  </si>
  <si>
    <t>Types</t>
  </si>
  <si>
    <t>kick stand,mounting tripod</t>
  </si>
  <si>
    <t>mounting tripod</t>
  </si>
  <si>
    <t>6, 5, 10, 19, 23, 26, 30</t>
  </si>
  <si>
    <t>Flexibility/Rigidity</t>
  </si>
  <si>
    <t>Degrees of Bending</t>
  </si>
  <si>
    <t>31, 29, 24, 25, 11, 6, 3</t>
  </si>
  <si>
    <t>Lifespan</t>
  </si>
  <si>
    <t>Years or Charge Cycles</t>
  </si>
  <si>
    <t>upto 10 yrs</t>
  </si>
  <si>
    <t>5 yrs</t>
  </si>
  <si>
    <t>24, 25, 31, 32, 22</t>
  </si>
  <si>
    <t>Warranty</t>
  </si>
  <si>
    <t>Years</t>
  </si>
  <si>
    <t>&gt;3</t>
  </si>
  <si>
    <t>29, 21, 20, 10, 8</t>
  </si>
  <si>
    <t>Battery Dimension</t>
  </si>
  <si>
    <t>mm</t>
  </si>
  <si>
    <t>upto 39*26*25 cm</t>
  </si>
  <si>
    <t>10, 8, 6, 29, 30</t>
  </si>
  <si>
    <t>Battery weight</t>
  </si>
  <si>
    <t>kg</t>
  </si>
  <si>
    <t>&lt;3.76</t>
  </si>
  <si>
    <t>&lt;1</t>
  </si>
  <si>
    <t xml:space="preserve">26, 32, 11, 23, </t>
  </si>
  <si>
    <t>Solar cell type</t>
  </si>
  <si>
    <t>Mono /Poly/ Flexible sheet/ Bifacial</t>
  </si>
  <si>
    <t>monocrystalline,polysilicon</t>
  </si>
  <si>
    <t>monocrystalline</t>
  </si>
  <si>
    <t>Value</t>
  </si>
  <si>
    <t>&gt;100</t>
  </si>
  <si>
    <t>6kg</t>
  </si>
  <si>
    <t>&lt;234.0*55.2*2.5</t>
  </si>
  <si>
    <t>25.0*50*2.5cm</t>
  </si>
  <si>
    <t>1.5m diameter</t>
  </si>
  <si>
    <t>typical 200W</t>
  </si>
  <si>
    <t>687W</t>
  </si>
  <si>
    <t>(100*70)cm</t>
  </si>
  <si>
    <t>(65.0*55.2)cm</t>
  </si>
  <si>
    <t>30*30*5</t>
  </si>
  <si>
    <t>1.50m diameter</t>
  </si>
  <si>
    <t>1.2m</t>
  </si>
  <si>
    <t>-40C &amp; 70C</t>
  </si>
  <si>
    <t>2m</t>
  </si>
  <si>
    <t>12V DC, 4A</t>
  </si>
  <si>
    <t>LI-ion</t>
  </si>
  <si>
    <t>12*4</t>
  </si>
  <si>
    <t>20000mAh(240Wh),12v</t>
  </si>
  <si>
    <t>5hr</t>
  </si>
  <si>
    <t xml:space="preserve">USB-A=2 , USB-C=4, </t>
  </si>
  <si>
    <t xml:space="preserve">1m </t>
  </si>
  <si>
    <t>1m but with reduced area</t>
  </si>
  <si>
    <t>integrated camping light, Integrated LED, Casing for the whole product, LCD display, Waterproofing</t>
  </si>
  <si>
    <t>200 USD</t>
  </si>
  <si>
    <t>tripod</t>
  </si>
  <si>
    <t>5yrs</t>
  </si>
  <si>
    <t>2yrs</t>
  </si>
  <si>
    <t>1kg</t>
  </si>
  <si>
    <t>Size</t>
  </si>
  <si>
    <t>Original Area (cm²)</t>
  </si>
  <si>
    <t>Original Power (W)</t>
  </si>
  <si>
    <t>Reduced Area (cm²)</t>
  </si>
  <si>
    <t>Reduced Power (W)</t>
  </si>
  <si>
    <t>Charging Time (hours)</t>
  </si>
  <si>
    <t>d= 150cm</t>
  </si>
  <si>
    <t>Area 1</t>
  </si>
  <si>
    <t>d = 155cm</t>
  </si>
  <si>
    <t>Area 2</t>
  </si>
  <si>
    <t>d = 160cm</t>
  </si>
  <si>
    <t>Area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</si>
</sst>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, d"/>
  </numFmts>
  <fonts count="18">
    <font>
      <sz val="10.0"/>
      <color rgb="FF000000"/>
      <name val="Arial"/>
      <scheme val="minor"/>
    </font>
    <font>
      <sz val="12.0"/>
      <color theme="1"/>
      <name val="Oswald"/>
    </font>
    <font>
      <b/>
      <sz val="12.0"/>
      <color theme="1"/>
      <name val="Oswald"/>
    </font>
    <font>
      <color theme="1"/>
      <name val="Arial"/>
      <scheme val="minor"/>
    </font>
    <font>
      <color theme="1"/>
      <name val="Oswald"/>
    </font>
    <font>
      <color theme="1"/>
      <name val="Arial"/>
    </font>
    <font>
      <color rgb="FF212121"/>
      <name val="Oswald"/>
    </font>
    <font>
      <color rgb="FF101010"/>
      <name val="Oswald"/>
    </font>
    <font>
      <color rgb="FF000000"/>
      <name val="Arial"/>
    </font>
    <font>
      <sz val="12.0"/>
      <color theme="1"/>
      <name val="Arial"/>
      <scheme val="minor"/>
    </font>
    <font>
      <sz val="21.0"/>
      <color theme="1"/>
      <name val="Arial"/>
      <scheme val="minor"/>
    </font>
    <font>
      <b/>
      <color theme="1"/>
      <name val="Arial"/>
      <scheme val="minor"/>
    </font>
    <font>
      <sz val="18.0"/>
      <color theme="1"/>
      <name val="Arial"/>
      <scheme val="minor"/>
    </font>
    <font>
      <sz val="12.0"/>
      <color rgb="FF212121"/>
      <name val="Oswald"/>
    </font>
    <font>
      <b/>
      <sz val="13.0"/>
      <color theme="1"/>
      <name val="Arial"/>
      <scheme val="minor"/>
    </font>
    <font>
      <sz val="13.0"/>
      <color theme="1"/>
      <name val="Arial"/>
      <scheme val="minor"/>
    </font>
    <font/>
    <font>
      <b/>
      <sz val="15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9900FF"/>
        <bgColor rgb="FF9900FF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</fills>
  <borders count="22">
    <border/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1" fillId="3" fontId="1" numFmtId="0" xfId="0" applyAlignment="1" applyBorder="1" applyFill="1" applyFont="1">
      <alignment horizontal="center" shrinkToFit="0" vertical="bottom" wrapText="1"/>
    </xf>
    <xf borderId="1" fillId="3" fontId="2" numFmtId="0" xfId="0" applyAlignment="1" applyBorder="1" applyFont="1">
      <alignment shrinkToFit="0" vertical="bottom" wrapText="1"/>
    </xf>
    <xf borderId="1" fillId="3" fontId="1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readingOrder="0"/>
    </xf>
    <xf borderId="2" fillId="2" fontId="1" numFmtId="0" xfId="0" applyAlignment="1" applyBorder="1" applyFont="1">
      <alignment horizontal="center" shrinkToFit="0" vertical="bottom" wrapText="1"/>
    </xf>
    <xf borderId="3" fillId="3" fontId="1" numFmtId="0" xfId="0" applyAlignment="1" applyBorder="1" applyFont="1">
      <alignment horizontal="center" shrinkToFit="0" vertical="bottom" wrapText="1"/>
    </xf>
    <xf borderId="3" fillId="4" fontId="2" numFmtId="0" xfId="0" applyAlignment="1" applyBorder="1" applyFill="1" applyFont="1">
      <alignment shrinkToFit="0" vertical="bottom" wrapText="1"/>
    </xf>
    <xf borderId="4" fillId="3" fontId="4" numFmtId="0" xfId="0" applyAlignment="1" applyBorder="1" applyFont="1">
      <alignment shrinkToFit="0" vertical="bottom" wrapText="1"/>
    </xf>
    <xf borderId="4" fillId="0" fontId="3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6" fillId="2" fontId="1" numFmtId="0" xfId="0" applyAlignment="1" applyBorder="1" applyFont="1">
      <alignment horizontal="center" shrinkToFit="0" vertical="bottom" wrapText="1"/>
    </xf>
    <xf borderId="7" fillId="3" fontId="1" numFmtId="0" xfId="0" applyAlignment="1" applyBorder="1" applyFont="1">
      <alignment horizontal="center" shrinkToFit="0" vertical="bottom" wrapText="1"/>
    </xf>
    <xf borderId="7" fillId="4" fontId="2" numFmtId="0" xfId="0" applyAlignment="1" applyBorder="1" applyFont="1">
      <alignment shrinkToFit="0" vertical="bottom" wrapText="1"/>
    </xf>
    <xf borderId="8" fillId="3" fontId="4" numFmtId="0" xfId="0" applyAlignment="1" applyBorder="1" applyFont="1">
      <alignment shrinkToFit="0" vertical="bottom" wrapText="1"/>
    </xf>
    <xf borderId="8" fillId="0" fontId="3" numFmtId="0" xfId="0" applyAlignment="1" applyBorder="1" applyFont="1">
      <alignment readingOrder="0"/>
    </xf>
    <xf borderId="9" fillId="0" fontId="3" numFmtId="0" xfId="0" applyAlignment="1" applyBorder="1" applyFont="1">
      <alignment readingOrder="0"/>
    </xf>
    <xf borderId="7" fillId="3" fontId="1" numFmtId="164" xfId="0" applyAlignment="1" applyBorder="1" applyFont="1" applyNumberFormat="1">
      <alignment horizontal="center" shrinkToFit="0" vertical="bottom" wrapText="1"/>
    </xf>
    <xf borderId="8" fillId="3" fontId="4" numFmtId="0" xfId="0" applyAlignment="1" applyBorder="1" applyFont="1">
      <alignment readingOrder="0" shrinkToFit="0" vertical="bottom" wrapText="1"/>
    </xf>
    <xf borderId="7" fillId="5" fontId="2" numFmtId="0" xfId="0" applyAlignment="1" applyBorder="1" applyFill="1" applyFont="1">
      <alignment shrinkToFit="0" vertical="bottom" wrapText="1"/>
    </xf>
    <xf borderId="8" fillId="3" fontId="5" numFmtId="0" xfId="0" applyAlignment="1" applyBorder="1" applyFont="1">
      <alignment vertical="bottom"/>
    </xf>
    <xf borderId="9" fillId="6" fontId="6" numFmtId="0" xfId="0" applyAlignment="1" applyBorder="1" applyFill="1" applyFont="1">
      <alignment horizontal="right" readingOrder="0"/>
    </xf>
    <xf borderId="0" fillId="0" fontId="6" numFmtId="0" xfId="0" applyAlignment="1" applyFont="1">
      <alignment horizontal="right" vertical="bottom"/>
    </xf>
    <xf borderId="0" fillId="0" fontId="4" numFmtId="0" xfId="0" applyAlignment="1" applyFont="1">
      <alignment horizontal="right" shrinkToFit="0" vertical="bottom" wrapText="1"/>
    </xf>
    <xf borderId="0" fillId="0" fontId="7" numFmtId="0" xfId="0" applyAlignment="1" applyFont="1">
      <alignment horizontal="right" vertical="bottom"/>
    </xf>
    <xf borderId="6" fillId="7" fontId="1" numFmtId="0" xfId="0" applyAlignment="1" applyBorder="1" applyFill="1" applyFont="1">
      <alignment horizontal="center" shrinkToFit="0" vertical="bottom" wrapText="1"/>
    </xf>
    <xf borderId="7" fillId="7" fontId="1" numFmtId="0" xfId="0" applyAlignment="1" applyBorder="1" applyFont="1">
      <alignment horizontal="center" shrinkToFit="0" vertical="bottom" wrapText="1"/>
    </xf>
    <xf borderId="7" fillId="7" fontId="2" numFmtId="0" xfId="0" applyAlignment="1" applyBorder="1" applyFont="1">
      <alignment shrinkToFit="0" vertical="bottom" wrapText="1"/>
    </xf>
    <xf borderId="8" fillId="7" fontId="4" numFmtId="0" xfId="0" applyAlignment="1" applyBorder="1" applyFont="1">
      <alignment shrinkToFit="0" vertical="bottom" wrapText="1"/>
    </xf>
    <xf borderId="8" fillId="7" fontId="3" numFmtId="0" xfId="0" applyBorder="1" applyFont="1"/>
    <xf borderId="9" fillId="7" fontId="3" numFmtId="0" xfId="0" applyBorder="1" applyFont="1"/>
    <xf borderId="10" fillId="8" fontId="8" numFmtId="0" xfId="0" applyAlignment="1" applyBorder="1" applyFill="1" applyFont="1">
      <alignment horizontal="left" readingOrder="0"/>
    </xf>
    <xf borderId="7" fillId="3" fontId="2" numFmtId="0" xfId="0" applyAlignment="1" applyBorder="1" applyFont="1">
      <alignment shrinkToFit="0" vertical="bottom" wrapText="1"/>
    </xf>
    <xf borderId="0" fillId="7" fontId="3" numFmtId="0" xfId="0" applyFont="1"/>
    <xf borderId="10" fillId="7" fontId="3" numFmtId="0" xfId="0" applyBorder="1" applyFont="1"/>
    <xf borderId="8" fillId="3" fontId="1" numFmtId="0" xfId="0" applyAlignment="1" applyBorder="1" applyFont="1">
      <alignment shrinkToFit="0" vertical="bottom" wrapText="1"/>
    </xf>
    <xf borderId="9" fillId="0" fontId="3" numFmtId="0" xfId="0" applyBorder="1" applyFont="1"/>
    <xf borderId="11" fillId="2" fontId="1" numFmtId="0" xfId="0" applyAlignment="1" applyBorder="1" applyFont="1">
      <alignment horizontal="center" shrinkToFit="0" vertical="bottom" wrapText="1"/>
    </xf>
    <xf borderId="12" fillId="3" fontId="1" numFmtId="0" xfId="0" applyAlignment="1" applyBorder="1" applyFont="1">
      <alignment horizontal="center" shrinkToFit="0" vertical="bottom" wrapText="1"/>
    </xf>
    <xf borderId="12" fillId="3" fontId="2" numFmtId="0" xfId="0" applyAlignment="1" applyBorder="1" applyFont="1">
      <alignment shrinkToFit="0" vertical="bottom" wrapText="1"/>
    </xf>
    <xf borderId="13" fillId="3" fontId="1" numFmtId="0" xfId="0" applyAlignment="1" applyBorder="1" applyFont="1">
      <alignment shrinkToFit="0" vertical="bottom" wrapText="1"/>
    </xf>
    <xf borderId="13" fillId="0" fontId="3" numFmtId="0" xfId="0" applyAlignment="1" applyBorder="1" applyFont="1">
      <alignment readingOrder="0"/>
    </xf>
    <xf borderId="14" fillId="0" fontId="3" numFmtId="0" xfId="0" applyAlignment="1" applyBorder="1" applyFont="1">
      <alignment readingOrder="0"/>
    </xf>
    <xf borderId="4" fillId="3" fontId="1" numFmtId="0" xfId="0" applyAlignment="1" applyBorder="1" applyFont="1">
      <alignment horizontal="center" shrinkToFit="0" vertical="bottom" wrapText="1"/>
    </xf>
    <xf borderId="4" fillId="3" fontId="2" numFmtId="0" xfId="0" applyAlignment="1" applyBorder="1" applyFont="1">
      <alignment horizontal="center" shrinkToFit="0" vertical="bottom" wrapText="1"/>
    </xf>
    <xf borderId="4" fillId="3" fontId="1" numFmtId="0" xfId="0" applyAlignment="1" applyBorder="1" applyFont="1">
      <alignment shrinkToFit="0" vertical="bottom" wrapText="1"/>
    </xf>
    <xf borderId="4" fillId="0" fontId="3" numFmtId="0" xfId="0" applyAlignment="1" applyBorder="1" applyFont="1">
      <alignment readingOrder="0" shrinkToFit="0" wrapText="1"/>
    </xf>
    <xf borderId="5" fillId="0" fontId="9" numFmtId="0" xfId="0" applyAlignment="1" applyBorder="1" applyFont="1">
      <alignment horizontal="right" readingOrder="0" shrinkToFit="0" wrapText="1"/>
    </xf>
    <xf borderId="0" fillId="0" fontId="10" numFmtId="0" xfId="0" applyAlignment="1" applyFont="1">
      <alignment horizontal="center" shrinkToFit="0" wrapText="1"/>
    </xf>
    <xf borderId="0" fillId="0" fontId="10" numFmtId="0" xfId="0" applyAlignment="1" applyFont="1">
      <alignment shrinkToFit="0" wrapText="1"/>
    </xf>
    <xf borderId="0" fillId="0" fontId="11" numFmtId="0" xfId="0" applyFont="1"/>
    <xf borderId="15" fillId="2" fontId="1" numFmtId="0" xfId="0" applyAlignment="1" applyBorder="1" applyFont="1">
      <alignment horizontal="center" shrinkToFit="0" vertical="bottom" wrapText="1"/>
    </xf>
    <xf borderId="8" fillId="3" fontId="1" numFmtId="0" xfId="0" applyAlignment="1" applyBorder="1" applyFont="1">
      <alignment horizontal="center" shrinkToFit="0" vertical="bottom" wrapText="1"/>
    </xf>
    <xf borderId="8" fillId="4" fontId="2" numFmtId="0" xfId="0" applyAlignment="1" applyBorder="1" applyFont="1">
      <alignment horizontal="center" shrinkToFit="0" vertical="bottom" wrapText="1"/>
    </xf>
    <xf borderId="8" fillId="0" fontId="3" numFmtId="0" xfId="0" applyAlignment="1" applyBorder="1" applyFont="1">
      <alignment readingOrder="0" shrinkToFit="0" wrapText="1"/>
    </xf>
    <xf borderId="9" fillId="0" fontId="9" numFmtId="0" xfId="0" applyAlignment="1" applyBorder="1" applyFont="1">
      <alignment horizontal="right" readingOrder="0" shrinkToFit="0" wrapText="1"/>
    </xf>
    <xf borderId="8" fillId="3" fontId="1" numFmtId="164" xfId="0" applyAlignment="1" applyBorder="1" applyFont="1" applyNumberFormat="1">
      <alignment horizontal="center" shrinkToFit="0" vertical="bottom" wrapText="1"/>
    </xf>
    <xf borderId="0" fillId="0" fontId="12" numFmtId="0" xfId="0" applyFont="1"/>
    <xf borderId="0" fillId="0" fontId="10" numFmtId="0" xfId="0" applyAlignment="1" applyFont="1">
      <alignment horizontal="center" readingOrder="0" shrinkToFit="0" wrapText="1"/>
    </xf>
    <xf borderId="0" fillId="0" fontId="12" numFmtId="0" xfId="0" applyAlignment="1" applyFont="1">
      <alignment readingOrder="0"/>
    </xf>
    <xf borderId="0" fillId="0" fontId="10" numFmtId="0" xfId="0" applyAlignment="1" applyFont="1">
      <alignment readingOrder="0" shrinkToFit="0" wrapText="1"/>
    </xf>
    <xf borderId="8" fillId="5" fontId="2" numFmtId="0" xfId="0" applyAlignment="1" applyBorder="1" applyFont="1">
      <alignment horizontal="center" shrinkToFit="0" vertical="bottom" wrapText="1"/>
    </xf>
    <xf borderId="8" fillId="6" fontId="6" numFmtId="0" xfId="0" applyAlignment="1" applyBorder="1" applyFont="1">
      <alignment horizontal="right" readingOrder="0" shrinkToFit="0" wrapText="1"/>
    </xf>
    <xf borderId="9" fillId="0" fontId="13" numFmtId="0" xfId="0" applyAlignment="1" applyBorder="1" applyFont="1">
      <alignment horizontal="right" readingOrder="0" shrinkToFit="0" vertical="bottom" wrapText="1"/>
    </xf>
    <xf borderId="15" fillId="7" fontId="1" numFmtId="0" xfId="0" applyAlignment="1" applyBorder="1" applyFont="1">
      <alignment horizontal="center" shrinkToFit="0" vertical="bottom" wrapText="1"/>
    </xf>
    <xf borderId="8" fillId="7" fontId="1" numFmtId="0" xfId="0" applyAlignment="1" applyBorder="1" applyFont="1">
      <alignment horizontal="center" shrinkToFit="0" vertical="bottom" wrapText="1"/>
    </xf>
    <xf borderId="8" fillId="7" fontId="2" numFmtId="0" xfId="0" applyAlignment="1" applyBorder="1" applyFont="1">
      <alignment horizontal="center" shrinkToFit="0" vertical="bottom" wrapText="1"/>
    </xf>
    <xf borderId="8" fillId="7" fontId="3" numFmtId="0" xfId="0" applyAlignment="1" applyBorder="1" applyFont="1">
      <alignment shrinkToFit="0" wrapText="1"/>
    </xf>
    <xf borderId="9" fillId="0" fontId="9" numFmtId="0" xfId="0" applyAlignment="1" applyBorder="1" applyFont="1">
      <alignment horizontal="right" shrinkToFit="0" wrapText="1"/>
    </xf>
    <xf borderId="8" fillId="8" fontId="8" numFmtId="0" xfId="0" applyAlignment="1" applyBorder="1" applyFont="1">
      <alignment horizontal="left" readingOrder="0" shrinkToFit="0" wrapText="1"/>
    </xf>
    <xf borderId="9" fillId="8" fontId="8" numFmtId="0" xfId="0" applyAlignment="1" applyBorder="1" applyFont="1">
      <alignment horizontal="left" readingOrder="0" shrinkToFit="0" wrapText="1"/>
    </xf>
    <xf borderId="8" fillId="3" fontId="2" numFmtId="0" xfId="0" applyAlignment="1" applyBorder="1" applyFont="1">
      <alignment horizontal="center" shrinkToFit="0" vertical="bottom" wrapText="1"/>
    </xf>
    <xf borderId="9" fillId="0" fontId="3" numFmtId="0" xfId="0" applyAlignment="1" applyBorder="1" applyFont="1">
      <alignment horizontal="center" readingOrder="0" shrinkToFit="0" wrapText="1"/>
    </xf>
    <xf borderId="8" fillId="0" fontId="3" numFmtId="0" xfId="0" applyAlignment="1" applyBorder="1" applyFont="1">
      <alignment shrinkToFit="0" wrapText="1"/>
    </xf>
    <xf borderId="16" fillId="2" fontId="1" numFmtId="0" xfId="0" applyAlignment="1" applyBorder="1" applyFont="1">
      <alignment horizontal="center" shrinkToFit="0" vertical="bottom" wrapText="1"/>
    </xf>
    <xf borderId="13" fillId="3" fontId="1" numFmtId="0" xfId="0" applyAlignment="1" applyBorder="1" applyFont="1">
      <alignment horizontal="center" shrinkToFit="0" vertical="bottom" wrapText="1"/>
    </xf>
    <xf borderId="13" fillId="3" fontId="2" numFmtId="0" xfId="0" applyAlignment="1" applyBorder="1" applyFont="1">
      <alignment horizontal="center" shrinkToFit="0" vertical="bottom" wrapText="1"/>
    </xf>
    <xf borderId="13" fillId="0" fontId="3" numFmtId="0" xfId="0" applyAlignment="1" applyBorder="1" applyFont="1">
      <alignment readingOrder="0" shrinkToFit="0" wrapText="1"/>
    </xf>
    <xf borderId="14" fillId="0" fontId="9" numFmtId="0" xfId="0" applyAlignment="1" applyBorder="1" applyFont="1">
      <alignment horizontal="right" readingOrder="0" shrinkToFit="0" wrapText="1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shrinkToFit="0" wrapText="1"/>
    </xf>
    <xf borderId="0" fillId="0" fontId="9" numFmtId="0" xfId="0" applyAlignment="1" applyFont="1">
      <alignment horizontal="right" shrinkToFit="0" wrapText="1"/>
    </xf>
    <xf borderId="17" fillId="9" fontId="14" numFmtId="0" xfId="0" applyAlignment="1" applyBorder="1" applyFill="1" applyFont="1">
      <alignment readingOrder="0" shrinkToFit="0" wrapText="1"/>
    </xf>
    <xf borderId="17" fillId="9" fontId="14" numFmtId="0" xfId="0" applyAlignment="1" applyBorder="1" applyFont="1">
      <alignment horizontal="center" readingOrder="0" shrinkToFit="0" wrapText="1"/>
    </xf>
    <xf borderId="1" fillId="10" fontId="9" numFmtId="0" xfId="0" applyAlignment="1" applyBorder="1" applyFill="1" applyFont="1">
      <alignment horizontal="right" readingOrder="0" shrinkToFit="0" wrapText="1"/>
    </xf>
    <xf borderId="6" fillId="10" fontId="15" numFmtId="0" xfId="0" applyAlignment="1" applyBorder="1" applyFont="1">
      <alignment readingOrder="0" shrinkToFit="0" wrapText="1"/>
    </xf>
    <xf borderId="18" fillId="10" fontId="15" numFmtId="9" xfId="0" applyAlignment="1" applyBorder="1" applyFont="1" applyNumberFormat="1">
      <alignment readingOrder="0" shrinkToFit="0" wrapText="1"/>
    </xf>
    <xf borderId="18" fillId="10" fontId="15" numFmtId="0" xfId="0" applyAlignment="1" applyBorder="1" applyFont="1">
      <alignment horizontal="center" readingOrder="0" shrinkToFit="0" wrapText="1"/>
    </xf>
    <xf borderId="18" fillId="10" fontId="15" numFmtId="0" xfId="0" applyAlignment="1" applyBorder="1" applyFont="1">
      <alignment readingOrder="0" shrinkToFit="0" wrapText="1"/>
    </xf>
    <xf borderId="19" fillId="10" fontId="14" numFmtId="0" xfId="0" applyAlignment="1" applyBorder="1" applyFont="1">
      <alignment readingOrder="0" shrinkToFit="0" wrapText="1"/>
    </xf>
    <xf borderId="20" fillId="0" fontId="16" numFmtId="0" xfId="0" applyBorder="1" applyFont="1"/>
    <xf borderId="15" fillId="10" fontId="15" numFmtId="0" xfId="0" applyAlignment="1" applyBorder="1" applyFont="1">
      <alignment readingOrder="0" shrinkToFit="0" wrapText="1"/>
    </xf>
    <xf borderId="8" fillId="10" fontId="15" numFmtId="9" xfId="0" applyAlignment="1" applyBorder="1" applyFont="1" applyNumberFormat="1">
      <alignment readingOrder="0" shrinkToFit="0" wrapText="1"/>
    </xf>
    <xf borderId="8" fillId="10" fontId="15" numFmtId="0" xfId="0" applyAlignment="1" applyBorder="1" applyFont="1">
      <alignment horizontal="center" readingOrder="0" shrinkToFit="0" wrapText="1"/>
    </xf>
    <xf borderId="8" fillId="10" fontId="15" numFmtId="0" xfId="0" applyAlignment="1" applyBorder="1" applyFont="1">
      <alignment readingOrder="0" shrinkToFit="0" wrapText="1"/>
    </xf>
    <xf borderId="9" fillId="10" fontId="14" numFmtId="0" xfId="0" applyAlignment="1" applyBorder="1" applyFont="1">
      <alignment readingOrder="0" shrinkToFit="0" wrapText="1"/>
    </xf>
    <xf borderId="21" fillId="0" fontId="16" numFmtId="0" xfId="0" applyBorder="1" applyFont="1"/>
    <xf borderId="8" fillId="10" fontId="14" numFmtId="0" xfId="0" applyAlignment="1" applyBorder="1" applyFont="1">
      <alignment readingOrder="0" shrinkToFit="0" wrapText="1"/>
    </xf>
    <xf borderId="8" fillId="10" fontId="17" numFmtId="0" xfId="0" applyAlignment="1" applyBorder="1" applyFont="1">
      <alignment readingOrder="0" shrinkToFit="0" wrapText="1"/>
    </xf>
    <xf borderId="1" fillId="11" fontId="9" numFmtId="0" xfId="0" applyAlignment="1" applyBorder="1" applyFill="1" applyFont="1">
      <alignment horizontal="right" readingOrder="0" shrinkToFit="0" wrapText="1"/>
    </xf>
    <xf borderId="15" fillId="11" fontId="15" numFmtId="0" xfId="0" applyAlignment="1" applyBorder="1" applyFont="1">
      <alignment readingOrder="0" shrinkToFit="0" wrapText="1"/>
    </xf>
    <xf borderId="8" fillId="11" fontId="15" numFmtId="9" xfId="0" applyAlignment="1" applyBorder="1" applyFont="1" applyNumberFormat="1">
      <alignment readingOrder="0" shrinkToFit="0" wrapText="1"/>
    </xf>
    <xf borderId="8" fillId="11" fontId="15" numFmtId="0" xfId="0" applyAlignment="1" applyBorder="1" applyFont="1">
      <alignment horizontal="center" readingOrder="0" shrinkToFit="0" wrapText="1"/>
    </xf>
    <xf borderId="8" fillId="11" fontId="15" numFmtId="0" xfId="0" applyAlignment="1" applyBorder="1" applyFont="1">
      <alignment readingOrder="0" shrinkToFit="0" wrapText="1"/>
    </xf>
    <xf borderId="9" fillId="11" fontId="14" numFmtId="0" xfId="0" applyAlignment="1" applyBorder="1" applyFont="1">
      <alignment readingOrder="0" shrinkToFit="0" wrapText="1"/>
    </xf>
    <xf borderId="8" fillId="11" fontId="14" numFmtId="0" xfId="0" applyAlignment="1" applyBorder="1" applyFont="1">
      <alignment readingOrder="0" shrinkToFit="0" wrapText="1"/>
    </xf>
    <xf borderId="8" fillId="11" fontId="17" numFmtId="0" xfId="0" applyAlignment="1" applyBorder="1" applyFont="1">
      <alignment readingOrder="0" shrinkToFit="0" wrapText="1"/>
    </xf>
    <xf borderId="1" fillId="4" fontId="9" numFmtId="0" xfId="0" applyAlignment="1" applyBorder="1" applyFont="1">
      <alignment horizontal="right" readingOrder="0" shrinkToFit="0" wrapText="1"/>
    </xf>
    <xf borderId="15" fillId="4" fontId="15" numFmtId="0" xfId="0" applyAlignment="1" applyBorder="1" applyFont="1">
      <alignment readingOrder="0" shrinkToFit="0" wrapText="1"/>
    </xf>
    <xf borderId="8" fillId="4" fontId="15" numFmtId="9" xfId="0" applyAlignment="1" applyBorder="1" applyFont="1" applyNumberFormat="1">
      <alignment readingOrder="0" shrinkToFit="0" wrapText="1"/>
    </xf>
    <xf borderId="8" fillId="4" fontId="15" numFmtId="0" xfId="0" applyAlignment="1" applyBorder="1" applyFont="1">
      <alignment horizontal="center" readingOrder="0" shrinkToFit="0" wrapText="1"/>
    </xf>
    <xf borderId="8" fillId="4" fontId="15" numFmtId="0" xfId="0" applyAlignment="1" applyBorder="1" applyFont="1">
      <alignment readingOrder="0" shrinkToFit="0" wrapText="1"/>
    </xf>
    <xf borderId="9" fillId="4" fontId="14" numFmtId="0" xfId="0" applyAlignment="1" applyBorder="1" applyFont="1">
      <alignment readingOrder="0" shrinkToFit="0" wrapText="1"/>
    </xf>
    <xf borderId="8" fillId="4" fontId="14" numFmtId="0" xfId="0" applyAlignment="1" applyBorder="1" applyFont="1">
      <alignment readingOrder="0" shrinkToFit="0" wrapText="1"/>
    </xf>
    <xf borderId="16" fillId="4" fontId="15" numFmtId="0" xfId="0" applyAlignment="1" applyBorder="1" applyFont="1">
      <alignment readingOrder="0" shrinkToFit="0" wrapText="1"/>
    </xf>
    <xf borderId="13" fillId="4" fontId="15" numFmtId="9" xfId="0" applyAlignment="1" applyBorder="1" applyFont="1" applyNumberFormat="1">
      <alignment readingOrder="0" shrinkToFit="0" wrapText="1"/>
    </xf>
    <xf borderId="13" fillId="4" fontId="15" numFmtId="0" xfId="0" applyAlignment="1" applyBorder="1" applyFont="1">
      <alignment horizontal="center" readingOrder="0" shrinkToFit="0" wrapText="1"/>
    </xf>
    <xf borderId="13" fillId="4" fontId="14" numFmtId="0" xfId="0" applyAlignment="1" applyBorder="1" applyFont="1">
      <alignment readingOrder="0" shrinkToFit="0" wrapText="1"/>
    </xf>
    <xf borderId="13" fillId="4" fontId="15" numFmtId="0" xfId="0" applyAlignment="1" applyBorder="1" applyFont="1">
      <alignment readingOrder="0" shrinkToFit="0" wrapText="1"/>
    </xf>
    <xf borderId="13" fillId="4" fontId="17" numFmtId="0" xfId="0" applyAlignment="1" applyBorder="1" applyFont="1">
      <alignment readingOrder="0" shrinkToFit="0" wrapText="1"/>
    </xf>
    <xf borderId="14" fillId="4" fontId="14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6" max="6" width="22.38"/>
    <col customWidth="1" min="7" max="7" width="16.88"/>
    <col customWidth="1" min="8" max="8" width="18.38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5" t="s">
        <v>5</v>
      </c>
      <c r="G1" s="5" t="s">
        <v>6</v>
      </c>
    </row>
    <row r="2">
      <c r="A2" s="6">
        <v>1.0</v>
      </c>
      <c r="B2" s="7" t="s">
        <v>7</v>
      </c>
      <c r="C2" s="8" t="s">
        <v>8</v>
      </c>
      <c r="D2" s="7">
        <v>7.0</v>
      </c>
      <c r="E2" s="9" t="s">
        <v>9</v>
      </c>
      <c r="F2" s="10" t="s">
        <v>10</v>
      </c>
      <c r="G2" s="11">
        <v>200.0</v>
      </c>
    </row>
    <row r="3">
      <c r="A3" s="12">
        <v>2.0</v>
      </c>
      <c r="B3" s="13" t="s">
        <v>7</v>
      </c>
      <c r="C3" s="14" t="s">
        <v>11</v>
      </c>
      <c r="D3" s="13">
        <v>7.0</v>
      </c>
      <c r="E3" s="15" t="s">
        <v>12</v>
      </c>
      <c r="F3" s="16" t="s">
        <v>13</v>
      </c>
      <c r="G3" s="17">
        <v>23.0</v>
      </c>
    </row>
    <row r="4">
      <c r="A4" s="12">
        <v>3.0</v>
      </c>
      <c r="B4" s="18">
        <v>45565.0</v>
      </c>
      <c r="C4" s="14" t="s">
        <v>14</v>
      </c>
      <c r="D4" s="13">
        <v>3.0</v>
      </c>
      <c r="E4" s="15" t="s">
        <v>15</v>
      </c>
      <c r="F4" s="16" t="s">
        <v>16</v>
      </c>
      <c r="G4" s="17" t="s">
        <v>17</v>
      </c>
    </row>
    <row r="5">
      <c r="A5" s="12">
        <v>4.0</v>
      </c>
      <c r="B5" s="13" t="s">
        <v>18</v>
      </c>
      <c r="C5" s="14" t="s">
        <v>19</v>
      </c>
      <c r="D5" s="13">
        <v>7.0</v>
      </c>
      <c r="E5" s="15" t="s">
        <v>20</v>
      </c>
      <c r="F5" s="16" t="s">
        <v>21</v>
      </c>
      <c r="G5" s="17" t="s">
        <v>22</v>
      </c>
    </row>
    <row r="6">
      <c r="A6" s="12">
        <v>5.0</v>
      </c>
      <c r="B6" s="13" t="s">
        <v>23</v>
      </c>
      <c r="C6" s="14" t="s">
        <v>24</v>
      </c>
      <c r="D6" s="13">
        <v>7.0</v>
      </c>
      <c r="E6" s="19" t="s">
        <v>25</v>
      </c>
      <c r="F6" s="17" t="s">
        <v>26</v>
      </c>
      <c r="G6" s="17" t="s">
        <v>27</v>
      </c>
    </row>
    <row r="7">
      <c r="A7" s="12">
        <v>6.0</v>
      </c>
      <c r="B7" s="13" t="s">
        <v>28</v>
      </c>
      <c r="C7" s="14" t="s">
        <v>29</v>
      </c>
      <c r="D7" s="13">
        <v>10.0</v>
      </c>
      <c r="E7" s="15" t="s">
        <v>30</v>
      </c>
      <c r="F7" s="16" t="s">
        <v>31</v>
      </c>
      <c r="G7" s="17" t="s">
        <v>32</v>
      </c>
    </row>
    <row r="8">
      <c r="A8" s="12">
        <v>7.0</v>
      </c>
      <c r="B8" s="13" t="s">
        <v>33</v>
      </c>
      <c r="C8" s="14" t="s">
        <v>34</v>
      </c>
      <c r="D8" s="13">
        <v>3.0</v>
      </c>
      <c r="E8" s="19" t="s">
        <v>35</v>
      </c>
      <c r="F8" s="16" t="s">
        <v>36</v>
      </c>
      <c r="G8" s="17" t="s">
        <v>37</v>
      </c>
    </row>
    <row r="9">
      <c r="A9" s="12">
        <v>8.0</v>
      </c>
      <c r="B9" s="13" t="s">
        <v>7</v>
      </c>
      <c r="C9" s="14" t="s">
        <v>38</v>
      </c>
      <c r="D9" s="13">
        <v>7.0</v>
      </c>
      <c r="E9" s="15" t="s">
        <v>39</v>
      </c>
      <c r="F9" s="16" t="s">
        <v>40</v>
      </c>
      <c r="G9" s="17" t="s">
        <v>41</v>
      </c>
    </row>
    <row r="10">
      <c r="A10" s="12">
        <v>9.0</v>
      </c>
      <c r="B10" s="13" t="s">
        <v>42</v>
      </c>
      <c r="C10" s="20" t="s">
        <v>43</v>
      </c>
      <c r="D10" s="13">
        <v>10.0</v>
      </c>
      <c r="E10" s="21"/>
      <c r="F10" s="16" t="s">
        <v>44</v>
      </c>
      <c r="G10" s="22" t="s">
        <v>45</v>
      </c>
      <c r="H10" s="23"/>
      <c r="I10" s="24"/>
      <c r="J10" s="25"/>
    </row>
    <row r="11">
      <c r="A11" s="12">
        <v>10.0</v>
      </c>
      <c r="B11" s="13" t="s">
        <v>46</v>
      </c>
      <c r="C11" s="20" t="s">
        <v>47</v>
      </c>
      <c r="D11" s="13">
        <v>10.0</v>
      </c>
      <c r="E11" s="15" t="s">
        <v>48</v>
      </c>
      <c r="F11" s="16" t="s">
        <v>49</v>
      </c>
      <c r="G11" s="17" t="s">
        <v>50</v>
      </c>
    </row>
    <row r="12">
      <c r="A12" s="12">
        <v>11.0</v>
      </c>
      <c r="B12" s="13" t="s">
        <v>51</v>
      </c>
      <c r="C12" s="20" t="s">
        <v>52</v>
      </c>
      <c r="D12" s="13">
        <v>7.0</v>
      </c>
      <c r="E12" s="15" t="s">
        <v>53</v>
      </c>
      <c r="F12" s="16" t="s">
        <v>54</v>
      </c>
      <c r="G12" s="17" t="s">
        <v>55</v>
      </c>
    </row>
    <row r="13">
      <c r="A13" s="26">
        <v>12.0</v>
      </c>
      <c r="B13" s="27" t="s">
        <v>7</v>
      </c>
      <c r="C13" s="28" t="s">
        <v>56</v>
      </c>
      <c r="D13" s="27">
        <v>7.0</v>
      </c>
      <c r="E13" s="29" t="s">
        <v>53</v>
      </c>
      <c r="F13" s="30"/>
      <c r="G13" s="31"/>
    </row>
    <row r="14">
      <c r="A14" s="12">
        <v>13.0</v>
      </c>
      <c r="B14" s="13" t="s">
        <v>57</v>
      </c>
      <c r="C14" s="20" t="s">
        <v>58</v>
      </c>
      <c r="D14" s="13">
        <v>10.0</v>
      </c>
      <c r="E14" s="15" t="s">
        <v>59</v>
      </c>
      <c r="F14" s="16" t="s">
        <v>60</v>
      </c>
      <c r="G14" s="32" t="s">
        <v>61</v>
      </c>
    </row>
    <row r="15">
      <c r="A15" s="12">
        <v>14.0</v>
      </c>
      <c r="B15" s="13" t="s">
        <v>7</v>
      </c>
      <c r="C15" s="20" t="s">
        <v>62</v>
      </c>
      <c r="D15" s="13">
        <v>7.0</v>
      </c>
      <c r="E15" s="15" t="s">
        <v>63</v>
      </c>
      <c r="F15" s="16" t="s">
        <v>64</v>
      </c>
      <c r="G15" s="17" t="s">
        <v>65</v>
      </c>
    </row>
    <row r="16">
      <c r="A16" s="12">
        <v>15.0</v>
      </c>
      <c r="B16" s="13">
        <v>11.0</v>
      </c>
      <c r="C16" s="20" t="s">
        <v>66</v>
      </c>
      <c r="D16" s="13">
        <v>3.0</v>
      </c>
      <c r="E16" s="15" t="s">
        <v>67</v>
      </c>
      <c r="F16" s="16" t="s">
        <v>68</v>
      </c>
      <c r="G16" s="17" t="s">
        <v>69</v>
      </c>
    </row>
    <row r="17">
      <c r="A17" s="12">
        <v>16.0</v>
      </c>
      <c r="B17" s="13" t="s">
        <v>70</v>
      </c>
      <c r="C17" s="33" t="s">
        <v>71</v>
      </c>
      <c r="D17" s="13">
        <v>7.0</v>
      </c>
      <c r="E17" s="15" t="s">
        <v>72</v>
      </c>
      <c r="F17" s="16" t="s">
        <v>73</v>
      </c>
      <c r="G17" s="17" t="s">
        <v>74</v>
      </c>
    </row>
    <row r="18">
      <c r="A18" s="12">
        <v>17.0</v>
      </c>
      <c r="B18" s="13" t="s">
        <v>75</v>
      </c>
      <c r="C18" s="33" t="s">
        <v>76</v>
      </c>
      <c r="D18" s="13">
        <v>10.0</v>
      </c>
      <c r="E18" s="15" t="s">
        <v>77</v>
      </c>
      <c r="F18" s="16" t="s">
        <v>78</v>
      </c>
      <c r="G18" s="17" t="s">
        <v>79</v>
      </c>
    </row>
    <row r="19">
      <c r="A19" s="12">
        <v>18.0</v>
      </c>
      <c r="B19" s="13" t="s">
        <v>80</v>
      </c>
      <c r="C19" s="33" t="s">
        <v>81</v>
      </c>
      <c r="D19" s="13">
        <v>10.0</v>
      </c>
      <c r="E19" s="15" t="s">
        <v>82</v>
      </c>
      <c r="F19" s="16" t="s">
        <v>83</v>
      </c>
      <c r="G19" s="17" t="s">
        <v>84</v>
      </c>
    </row>
    <row r="20">
      <c r="A20" s="26">
        <v>19.0</v>
      </c>
      <c r="B20" s="27" t="s">
        <v>85</v>
      </c>
      <c r="C20" s="28" t="s">
        <v>86</v>
      </c>
      <c r="D20" s="27">
        <v>10.0</v>
      </c>
      <c r="E20" s="29" t="s">
        <v>87</v>
      </c>
      <c r="F20" s="34"/>
      <c r="G20" s="35"/>
    </row>
    <row r="21">
      <c r="A21" s="12">
        <v>20.0</v>
      </c>
      <c r="B21" s="13" t="s">
        <v>88</v>
      </c>
      <c r="C21" s="33" t="s">
        <v>89</v>
      </c>
      <c r="D21" s="13">
        <v>7.0</v>
      </c>
      <c r="E21" s="15" t="s">
        <v>90</v>
      </c>
      <c r="F21" s="16" t="s">
        <v>91</v>
      </c>
      <c r="G21" s="17" t="s">
        <v>92</v>
      </c>
    </row>
    <row r="22">
      <c r="A22" s="12">
        <v>21.0</v>
      </c>
      <c r="B22" s="13" t="s">
        <v>93</v>
      </c>
      <c r="C22" s="33" t="s">
        <v>94</v>
      </c>
      <c r="D22" s="13">
        <v>3.0</v>
      </c>
      <c r="E22" s="36" t="s">
        <v>95</v>
      </c>
      <c r="F22" s="16" t="s">
        <v>96</v>
      </c>
      <c r="G22" s="17">
        <v>5.0</v>
      </c>
    </row>
    <row r="23">
      <c r="A23" s="12">
        <v>22.0</v>
      </c>
      <c r="B23" s="13" t="s">
        <v>97</v>
      </c>
      <c r="C23" s="20" t="s">
        <v>98</v>
      </c>
      <c r="D23" s="13">
        <v>10.0</v>
      </c>
      <c r="E23" s="36" t="s">
        <v>99</v>
      </c>
      <c r="F23" s="16" t="s">
        <v>100</v>
      </c>
      <c r="G23" s="37"/>
    </row>
    <row r="24">
      <c r="A24" s="12">
        <v>23.0</v>
      </c>
      <c r="B24" s="13" t="s">
        <v>101</v>
      </c>
      <c r="C24" s="20" t="s">
        <v>102</v>
      </c>
      <c r="D24" s="13">
        <v>7.0</v>
      </c>
      <c r="E24" s="36" t="s">
        <v>103</v>
      </c>
      <c r="F24" s="16" t="s">
        <v>104</v>
      </c>
      <c r="G24" s="17" t="s">
        <v>105</v>
      </c>
    </row>
    <row r="25">
      <c r="A25" s="38">
        <v>24.0</v>
      </c>
      <c r="B25" s="39" t="s">
        <v>106</v>
      </c>
      <c r="C25" s="40" t="s">
        <v>107</v>
      </c>
      <c r="D25" s="39">
        <v>7.0</v>
      </c>
      <c r="E25" s="41" t="s">
        <v>108</v>
      </c>
      <c r="F25" s="42" t="s">
        <v>109</v>
      </c>
      <c r="G25" s="43" t="s">
        <v>110</v>
      </c>
    </row>
  </sheetData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6.13"/>
    <col customWidth="1" min="7" max="7" width="16.88"/>
    <col customWidth="1" min="8" max="8" width="35.25"/>
    <col customWidth="1" min="11" max="11" width="25.88"/>
    <col customWidth="1" min="13" max="13" width="14.13"/>
  </cols>
  <sheetData>
    <row r="1">
      <c r="A1" s="6" t="s">
        <v>0</v>
      </c>
      <c r="B1" s="44" t="s">
        <v>1</v>
      </c>
      <c r="C1" s="45" t="s">
        <v>2</v>
      </c>
      <c r="D1" s="44" t="s">
        <v>3</v>
      </c>
      <c r="E1" s="46" t="s">
        <v>4</v>
      </c>
      <c r="F1" s="47" t="s">
        <v>5</v>
      </c>
      <c r="G1" s="47" t="s">
        <v>6</v>
      </c>
      <c r="H1" s="48" t="s">
        <v>111</v>
      </c>
      <c r="K1" s="49"/>
      <c r="L1" s="50"/>
      <c r="O1" s="51"/>
    </row>
    <row r="2">
      <c r="A2" s="52">
        <v>1.0</v>
      </c>
      <c r="B2" s="53" t="s">
        <v>7</v>
      </c>
      <c r="C2" s="54" t="s">
        <v>8</v>
      </c>
      <c r="D2" s="53">
        <v>7.0</v>
      </c>
      <c r="E2" s="15" t="s">
        <v>9</v>
      </c>
      <c r="F2" s="55" t="s">
        <v>112</v>
      </c>
      <c r="G2" s="55">
        <v>200.0</v>
      </c>
      <c r="H2" s="56">
        <v>200.0</v>
      </c>
      <c r="K2" s="49"/>
      <c r="L2" s="50"/>
      <c r="O2" s="51"/>
    </row>
    <row r="3">
      <c r="A3" s="52">
        <v>2.0</v>
      </c>
      <c r="B3" s="53" t="s">
        <v>7</v>
      </c>
      <c r="C3" s="54" t="s">
        <v>11</v>
      </c>
      <c r="D3" s="53">
        <v>7.0</v>
      </c>
      <c r="E3" s="15" t="s">
        <v>12</v>
      </c>
      <c r="F3" s="55" t="s">
        <v>13</v>
      </c>
      <c r="G3" s="55">
        <v>23.0</v>
      </c>
      <c r="H3" s="56">
        <v>23.0</v>
      </c>
      <c r="K3" s="49"/>
      <c r="L3" s="50"/>
      <c r="O3" s="51"/>
    </row>
    <row r="4">
      <c r="A4" s="52">
        <v>3.0</v>
      </c>
      <c r="B4" s="57">
        <v>45565.0</v>
      </c>
      <c r="C4" s="54" t="s">
        <v>14</v>
      </c>
      <c r="D4" s="53">
        <v>3.0</v>
      </c>
      <c r="E4" s="15" t="s">
        <v>15</v>
      </c>
      <c r="F4" s="55" t="s">
        <v>16</v>
      </c>
      <c r="G4" s="55" t="s">
        <v>17</v>
      </c>
      <c r="H4" s="56" t="s">
        <v>113</v>
      </c>
      <c r="J4" s="58"/>
      <c r="K4" s="49"/>
      <c r="L4" s="50"/>
      <c r="M4" s="58"/>
      <c r="O4" s="51"/>
    </row>
    <row r="5">
      <c r="A5" s="52">
        <v>4.0</v>
      </c>
      <c r="B5" s="53" t="s">
        <v>18</v>
      </c>
      <c r="C5" s="54" t="s">
        <v>19</v>
      </c>
      <c r="D5" s="53">
        <v>7.0</v>
      </c>
      <c r="E5" s="15" t="s">
        <v>20</v>
      </c>
      <c r="F5" s="55" t="s">
        <v>114</v>
      </c>
      <c r="G5" s="55" t="s">
        <v>115</v>
      </c>
      <c r="H5" s="56" t="s">
        <v>116</v>
      </c>
      <c r="J5" s="58"/>
      <c r="K5" s="59" t="s">
        <v>117</v>
      </c>
      <c r="L5" s="50">
        <f>234*55*3</f>
        <v>38610</v>
      </c>
      <c r="M5" s="60" t="s">
        <v>118</v>
      </c>
      <c r="O5" s="51"/>
    </row>
    <row r="6">
      <c r="A6" s="52">
        <v>5.0</v>
      </c>
      <c r="B6" s="53" t="s">
        <v>23</v>
      </c>
      <c r="C6" s="54" t="s">
        <v>24</v>
      </c>
      <c r="D6" s="53">
        <v>7.0</v>
      </c>
      <c r="E6" s="19" t="s">
        <v>25</v>
      </c>
      <c r="F6" s="55" t="s">
        <v>119</v>
      </c>
      <c r="G6" s="55" t="s">
        <v>120</v>
      </c>
      <c r="H6" s="56" t="s">
        <v>121</v>
      </c>
      <c r="J6" s="58"/>
      <c r="K6" s="59" t="s">
        <v>122</v>
      </c>
      <c r="L6" s="50">
        <f>3.14*150*150/4</f>
        <v>17662.5</v>
      </c>
      <c r="M6" s="58"/>
      <c r="O6" s="51"/>
    </row>
    <row r="7">
      <c r="A7" s="52">
        <v>6.0</v>
      </c>
      <c r="B7" s="53" t="s">
        <v>28</v>
      </c>
      <c r="C7" s="54" t="s">
        <v>29</v>
      </c>
      <c r="D7" s="53">
        <v>10.0</v>
      </c>
      <c r="E7" s="15" t="s">
        <v>30</v>
      </c>
      <c r="F7" s="55" t="s">
        <v>31</v>
      </c>
      <c r="G7" s="55" t="s">
        <v>32</v>
      </c>
      <c r="H7" s="56" t="s">
        <v>32</v>
      </c>
      <c r="J7" s="58"/>
      <c r="K7" s="59" t="s">
        <v>123</v>
      </c>
      <c r="L7" s="50">
        <f>3.14*120*120/4</f>
        <v>11304</v>
      </c>
      <c r="M7" s="58"/>
      <c r="O7" s="51"/>
    </row>
    <row r="8">
      <c r="A8" s="52">
        <v>7.0</v>
      </c>
      <c r="B8" s="53" t="s">
        <v>33</v>
      </c>
      <c r="C8" s="54" t="s">
        <v>34</v>
      </c>
      <c r="D8" s="53">
        <v>3.0</v>
      </c>
      <c r="E8" s="19" t="s">
        <v>35</v>
      </c>
      <c r="F8" s="55" t="s">
        <v>36</v>
      </c>
      <c r="G8" s="55" t="s">
        <v>37</v>
      </c>
      <c r="H8" s="56" t="s">
        <v>124</v>
      </c>
      <c r="J8" s="58"/>
      <c r="K8" s="59" t="s">
        <v>125</v>
      </c>
      <c r="L8" s="50">
        <f>3.14*200*200/4</f>
        <v>31400</v>
      </c>
      <c r="M8" s="58"/>
      <c r="O8" s="51"/>
    </row>
    <row r="9">
      <c r="A9" s="52">
        <v>8.0</v>
      </c>
      <c r="B9" s="53" t="s">
        <v>7</v>
      </c>
      <c r="C9" s="54" t="s">
        <v>38</v>
      </c>
      <c r="D9" s="53">
        <v>7.0</v>
      </c>
      <c r="E9" s="15" t="s">
        <v>39</v>
      </c>
      <c r="F9" s="55" t="s">
        <v>40</v>
      </c>
      <c r="G9" s="55" t="s">
        <v>41</v>
      </c>
      <c r="H9" s="56" t="s">
        <v>126</v>
      </c>
      <c r="K9" s="49"/>
      <c r="L9" s="61">
        <v>7000.0</v>
      </c>
      <c r="O9" s="51"/>
    </row>
    <row r="10">
      <c r="A10" s="52">
        <v>9.0</v>
      </c>
      <c r="B10" s="53" t="s">
        <v>42</v>
      </c>
      <c r="C10" s="62" t="s">
        <v>43</v>
      </c>
      <c r="D10" s="53">
        <v>10.0</v>
      </c>
      <c r="E10" s="21"/>
      <c r="F10" s="55" t="s">
        <v>44</v>
      </c>
      <c r="G10" s="63" t="s">
        <v>45</v>
      </c>
      <c r="H10" s="64" t="s">
        <v>127</v>
      </c>
      <c r="I10" s="24"/>
      <c r="J10" s="25"/>
      <c r="K10" s="59" t="s">
        <v>128</v>
      </c>
      <c r="L10" s="50"/>
      <c r="O10" s="51"/>
    </row>
    <row r="11">
      <c r="A11" s="52">
        <v>10.0</v>
      </c>
      <c r="B11" s="53" t="s">
        <v>46</v>
      </c>
      <c r="C11" s="62" t="s">
        <v>47</v>
      </c>
      <c r="D11" s="53">
        <v>10.0</v>
      </c>
      <c r="E11" s="15" t="s">
        <v>48</v>
      </c>
      <c r="F11" s="55" t="s">
        <v>49</v>
      </c>
      <c r="G11" s="55" t="s">
        <v>50</v>
      </c>
      <c r="H11" s="56" t="s">
        <v>129</v>
      </c>
      <c r="K11" s="49">
        <f>12*4</f>
        <v>48</v>
      </c>
      <c r="L11" s="50"/>
      <c r="O11" s="51"/>
    </row>
    <row r="12">
      <c r="A12" s="52">
        <v>11.0</v>
      </c>
      <c r="B12" s="53" t="s">
        <v>51</v>
      </c>
      <c r="C12" s="62" t="s">
        <v>52</v>
      </c>
      <c r="D12" s="53">
        <v>7.0</v>
      </c>
      <c r="E12" s="15" t="s">
        <v>53</v>
      </c>
      <c r="F12" s="55" t="s">
        <v>54</v>
      </c>
      <c r="G12" s="55" t="s">
        <v>55</v>
      </c>
      <c r="H12" s="56" t="s">
        <v>130</v>
      </c>
      <c r="K12" s="49"/>
      <c r="L12" s="61">
        <v>10000.0</v>
      </c>
      <c r="O12" s="51"/>
    </row>
    <row r="13">
      <c r="A13" s="65">
        <v>12.0</v>
      </c>
      <c r="B13" s="66" t="s">
        <v>7</v>
      </c>
      <c r="C13" s="67" t="s">
        <v>56</v>
      </c>
      <c r="D13" s="66">
        <v>7.0</v>
      </c>
      <c r="E13" s="29" t="s">
        <v>53</v>
      </c>
      <c r="F13" s="68"/>
      <c r="G13" s="68"/>
      <c r="H13" s="69"/>
      <c r="K13" s="49"/>
      <c r="L13" s="50"/>
      <c r="O13" s="51"/>
    </row>
    <row r="14">
      <c r="A14" s="52">
        <v>13.0</v>
      </c>
      <c r="B14" s="53" t="s">
        <v>57</v>
      </c>
      <c r="C14" s="62" t="s">
        <v>58</v>
      </c>
      <c r="D14" s="53">
        <v>10.0</v>
      </c>
      <c r="E14" s="15" t="s">
        <v>59</v>
      </c>
      <c r="F14" s="55" t="s">
        <v>60</v>
      </c>
      <c r="G14" s="70" t="s">
        <v>61</v>
      </c>
      <c r="H14" s="71" t="s">
        <v>131</v>
      </c>
      <c r="K14" s="59" t="s">
        <v>132</v>
      </c>
      <c r="L14" s="50">
        <f>PI()*100*100/4</f>
        <v>7853.981634</v>
      </c>
      <c r="O14" s="51"/>
    </row>
    <row r="15">
      <c r="A15" s="52">
        <v>14.0</v>
      </c>
      <c r="B15" s="53" t="s">
        <v>7</v>
      </c>
      <c r="C15" s="62" t="s">
        <v>62</v>
      </c>
      <c r="D15" s="53">
        <v>7.0</v>
      </c>
      <c r="E15" s="15" t="s">
        <v>63</v>
      </c>
      <c r="F15" s="55" t="s">
        <v>64</v>
      </c>
      <c r="G15" s="55" t="s">
        <v>65</v>
      </c>
      <c r="H15" s="56" t="s">
        <v>126</v>
      </c>
      <c r="K15" s="59" t="s">
        <v>133</v>
      </c>
      <c r="L15" s="50"/>
      <c r="O15" s="51"/>
    </row>
    <row r="16">
      <c r="A16" s="52">
        <v>15.0</v>
      </c>
      <c r="B16" s="53">
        <v>11.0</v>
      </c>
      <c r="C16" s="62" t="s">
        <v>66</v>
      </c>
      <c r="D16" s="53">
        <v>3.0</v>
      </c>
      <c r="E16" s="15" t="s">
        <v>67</v>
      </c>
      <c r="F16" s="55" t="s">
        <v>68</v>
      </c>
      <c r="G16" s="55" t="s">
        <v>69</v>
      </c>
      <c r="H16" s="56">
        <v>5000.0</v>
      </c>
      <c r="K16" s="49"/>
      <c r="L16" s="50"/>
      <c r="O16" s="51"/>
    </row>
    <row r="17" ht="49.5" customHeight="1">
      <c r="A17" s="52">
        <v>16.0</v>
      </c>
      <c r="B17" s="53" t="s">
        <v>70</v>
      </c>
      <c r="C17" s="72" t="s">
        <v>71</v>
      </c>
      <c r="D17" s="53">
        <v>7.0</v>
      </c>
      <c r="E17" s="15" t="s">
        <v>72</v>
      </c>
      <c r="F17" s="55" t="s">
        <v>73</v>
      </c>
      <c r="G17" s="55" t="s">
        <v>74</v>
      </c>
      <c r="H17" s="73" t="s">
        <v>134</v>
      </c>
      <c r="K17" s="49"/>
      <c r="L17" s="50"/>
      <c r="O17" s="51"/>
    </row>
    <row r="18">
      <c r="A18" s="52">
        <v>17.0</v>
      </c>
      <c r="B18" s="53" t="s">
        <v>75</v>
      </c>
      <c r="C18" s="72" t="s">
        <v>76</v>
      </c>
      <c r="D18" s="53">
        <v>10.0</v>
      </c>
      <c r="E18" s="15" t="s">
        <v>77</v>
      </c>
      <c r="F18" s="55" t="s">
        <v>78</v>
      </c>
      <c r="G18" s="55" t="s">
        <v>79</v>
      </c>
      <c r="H18" s="56" t="s">
        <v>135</v>
      </c>
      <c r="K18" s="49"/>
      <c r="L18" s="50"/>
      <c r="O18" s="51"/>
    </row>
    <row r="19">
      <c r="A19" s="52">
        <v>18.0</v>
      </c>
      <c r="B19" s="53" t="s">
        <v>80</v>
      </c>
      <c r="C19" s="72" t="s">
        <v>81</v>
      </c>
      <c r="D19" s="53">
        <v>10.0</v>
      </c>
      <c r="E19" s="15" t="s">
        <v>82</v>
      </c>
      <c r="F19" s="55" t="s">
        <v>83</v>
      </c>
      <c r="G19" s="55" t="s">
        <v>84</v>
      </c>
      <c r="H19" s="56" t="s">
        <v>136</v>
      </c>
      <c r="K19" s="49"/>
      <c r="L19" s="50"/>
      <c r="O19" s="51"/>
    </row>
    <row r="20">
      <c r="A20" s="65">
        <v>19.0</v>
      </c>
      <c r="B20" s="66" t="s">
        <v>85</v>
      </c>
      <c r="C20" s="67" t="s">
        <v>86</v>
      </c>
      <c r="D20" s="66">
        <v>10.0</v>
      </c>
      <c r="E20" s="29" t="s">
        <v>87</v>
      </c>
      <c r="F20" s="68"/>
      <c r="G20" s="68"/>
      <c r="H20" s="69"/>
      <c r="K20" s="49"/>
      <c r="L20" s="50"/>
      <c r="O20" s="51"/>
    </row>
    <row r="21">
      <c r="A21" s="52">
        <v>20.0</v>
      </c>
      <c r="B21" s="53" t="s">
        <v>88</v>
      </c>
      <c r="C21" s="72" t="s">
        <v>89</v>
      </c>
      <c r="D21" s="53">
        <v>7.0</v>
      </c>
      <c r="E21" s="15" t="s">
        <v>90</v>
      </c>
      <c r="F21" s="55" t="s">
        <v>91</v>
      </c>
      <c r="G21" s="55" t="s">
        <v>92</v>
      </c>
      <c r="H21" s="56" t="s">
        <v>137</v>
      </c>
      <c r="K21" s="49"/>
      <c r="L21" s="50"/>
      <c r="O21" s="51"/>
    </row>
    <row r="22">
      <c r="A22" s="52">
        <v>21.0</v>
      </c>
      <c r="B22" s="53" t="s">
        <v>93</v>
      </c>
      <c r="C22" s="72" t="s">
        <v>94</v>
      </c>
      <c r="D22" s="53">
        <v>3.0</v>
      </c>
      <c r="E22" s="36" t="s">
        <v>95</v>
      </c>
      <c r="F22" s="55" t="s">
        <v>96</v>
      </c>
      <c r="G22" s="55">
        <v>5.0</v>
      </c>
      <c r="H22" s="56" t="s">
        <v>138</v>
      </c>
      <c r="K22" s="49"/>
      <c r="L22" s="50"/>
      <c r="O22" s="51"/>
    </row>
    <row r="23">
      <c r="A23" s="52">
        <v>22.0</v>
      </c>
      <c r="B23" s="53" t="s">
        <v>97</v>
      </c>
      <c r="C23" s="62" t="s">
        <v>98</v>
      </c>
      <c r="D23" s="53">
        <v>10.0</v>
      </c>
      <c r="E23" s="36" t="s">
        <v>99</v>
      </c>
      <c r="F23" s="55" t="s">
        <v>100</v>
      </c>
      <c r="G23" s="74"/>
      <c r="H23" s="69"/>
      <c r="K23" s="49"/>
      <c r="L23" s="50"/>
      <c r="O23" s="51"/>
    </row>
    <row r="24">
      <c r="A24" s="52">
        <v>23.0</v>
      </c>
      <c r="B24" s="53" t="s">
        <v>101</v>
      </c>
      <c r="C24" s="62" t="s">
        <v>102</v>
      </c>
      <c r="D24" s="53">
        <v>7.0</v>
      </c>
      <c r="E24" s="36" t="s">
        <v>103</v>
      </c>
      <c r="F24" s="55" t="s">
        <v>104</v>
      </c>
      <c r="G24" s="55" t="s">
        <v>105</v>
      </c>
      <c r="H24" s="56" t="s">
        <v>139</v>
      </c>
      <c r="K24" s="49"/>
      <c r="L24" s="50"/>
      <c r="O24" s="51"/>
    </row>
    <row r="25">
      <c r="A25" s="75">
        <v>24.0</v>
      </c>
      <c r="B25" s="76" t="s">
        <v>106</v>
      </c>
      <c r="C25" s="77" t="s">
        <v>107</v>
      </c>
      <c r="D25" s="76">
        <v>7.0</v>
      </c>
      <c r="E25" s="41" t="s">
        <v>108</v>
      </c>
      <c r="F25" s="78" t="s">
        <v>109</v>
      </c>
      <c r="G25" s="78" t="s">
        <v>110</v>
      </c>
      <c r="H25" s="79" t="s">
        <v>110</v>
      </c>
      <c r="K25" s="49"/>
      <c r="L25" s="50"/>
      <c r="O25" s="51"/>
    </row>
    <row r="26" ht="52.5" customHeight="1">
      <c r="C26" s="80"/>
      <c r="F26" s="81"/>
      <c r="G26" s="81"/>
      <c r="H26" s="82"/>
      <c r="I26" s="83" t="s">
        <v>140</v>
      </c>
      <c r="J26" s="83" t="s">
        <v>11</v>
      </c>
      <c r="K26" s="84" t="s">
        <v>141</v>
      </c>
      <c r="L26" s="83" t="s">
        <v>142</v>
      </c>
      <c r="M26" s="83" t="s">
        <v>143</v>
      </c>
      <c r="N26" s="83" t="s">
        <v>144</v>
      </c>
      <c r="O26" s="83" t="s">
        <v>145</v>
      </c>
    </row>
    <row r="27">
      <c r="C27" s="80"/>
      <c r="F27" s="81"/>
      <c r="G27" s="81"/>
      <c r="H27" s="85" t="s">
        <v>146</v>
      </c>
      <c r="I27" s="86" t="s">
        <v>147</v>
      </c>
      <c r="J27" s="87">
        <v>0.2</v>
      </c>
      <c r="K27" s="88">
        <v>8382.5</v>
      </c>
      <c r="L27" s="89">
        <v>167.65</v>
      </c>
      <c r="M27" s="89">
        <v>7544.25</v>
      </c>
      <c r="N27" s="89">
        <v>150.89</v>
      </c>
      <c r="O27" s="90">
        <v>1.19</v>
      </c>
    </row>
    <row r="28">
      <c r="C28" s="80"/>
      <c r="F28" s="81"/>
      <c r="G28" s="81"/>
      <c r="H28" s="91"/>
      <c r="I28" s="92" t="s">
        <v>147</v>
      </c>
      <c r="J28" s="93">
        <v>0.21</v>
      </c>
      <c r="K28" s="94">
        <v>8382.5</v>
      </c>
      <c r="L28" s="95">
        <v>176.22</v>
      </c>
      <c r="M28" s="95">
        <v>7544.25</v>
      </c>
      <c r="N28" s="95">
        <v>158.54</v>
      </c>
      <c r="O28" s="96">
        <v>1.131</v>
      </c>
    </row>
    <row r="29">
      <c r="C29" s="80"/>
      <c r="F29" s="81"/>
      <c r="G29" s="81"/>
      <c r="H29" s="91"/>
      <c r="I29" s="92" t="s">
        <v>147</v>
      </c>
      <c r="J29" s="93">
        <v>0.22</v>
      </c>
      <c r="K29" s="94">
        <v>8382.5</v>
      </c>
      <c r="L29" s="95">
        <v>184.32</v>
      </c>
      <c r="M29" s="95">
        <v>7544.25</v>
      </c>
      <c r="N29" s="95">
        <v>166.18</v>
      </c>
      <c r="O29" s="96">
        <v>1.083</v>
      </c>
    </row>
    <row r="30">
      <c r="C30" s="80"/>
      <c r="F30" s="81"/>
      <c r="G30" s="81"/>
      <c r="H30" s="91"/>
      <c r="I30" s="92" t="s">
        <v>147</v>
      </c>
      <c r="J30" s="93">
        <v>0.23</v>
      </c>
      <c r="K30" s="94">
        <v>8382.5</v>
      </c>
      <c r="L30" s="95">
        <v>192.7</v>
      </c>
      <c r="M30" s="95">
        <v>7544.25</v>
      </c>
      <c r="N30" s="95">
        <v>173.83</v>
      </c>
      <c r="O30" s="96">
        <v>1.039</v>
      </c>
    </row>
    <row r="31">
      <c r="C31" s="80"/>
      <c r="F31" s="81"/>
      <c r="G31" s="81"/>
      <c r="H31" s="97"/>
      <c r="I31" s="92" t="s">
        <v>147</v>
      </c>
      <c r="J31" s="93">
        <v>0.24</v>
      </c>
      <c r="K31" s="94">
        <v>8382.5</v>
      </c>
      <c r="L31" s="98">
        <v>201.18</v>
      </c>
      <c r="M31" s="95">
        <v>7544.25</v>
      </c>
      <c r="N31" s="99">
        <v>181.48</v>
      </c>
      <c r="O31" s="96">
        <v>0.987</v>
      </c>
    </row>
    <row r="32">
      <c r="C32" s="80"/>
      <c r="F32" s="81"/>
      <c r="G32" s="81"/>
      <c r="H32" s="100" t="s">
        <v>148</v>
      </c>
      <c r="I32" s="101" t="s">
        <v>149</v>
      </c>
      <c r="J32" s="102">
        <v>0.2</v>
      </c>
      <c r="K32" s="103">
        <v>8950.67</v>
      </c>
      <c r="L32" s="104">
        <v>179.01</v>
      </c>
      <c r="M32" s="104">
        <v>8055.6</v>
      </c>
      <c r="N32" s="104">
        <v>161.11</v>
      </c>
      <c r="O32" s="105">
        <v>1.239</v>
      </c>
    </row>
    <row r="33">
      <c r="C33" s="80"/>
      <c r="F33" s="81"/>
      <c r="G33" s="81"/>
      <c r="H33" s="91"/>
      <c r="I33" s="101" t="s">
        <v>149</v>
      </c>
      <c r="J33" s="102">
        <v>0.21</v>
      </c>
      <c r="K33" s="103">
        <v>8950.67</v>
      </c>
      <c r="L33" s="104">
        <v>186.84</v>
      </c>
      <c r="M33" s="104">
        <v>8055.6</v>
      </c>
      <c r="N33" s="104">
        <v>169.17</v>
      </c>
      <c r="O33" s="105">
        <v>1.191</v>
      </c>
    </row>
    <row r="34">
      <c r="C34" s="80"/>
      <c r="F34" s="81"/>
      <c r="G34" s="81"/>
      <c r="H34" s="91"/>
      <c r="I34" s="101" t="s">
        <v>149</v>
      </c>
      <c r="J34" s="102">
        <v>0.22</v>
      </c>
      <c r="K34" s="103">
        <v>8950.67</v>
      </c>
      <c r="L34" s="104">
        <v>196.92</v>
      </c>
      <c r="M34" s="104">
        <v>8055.6</v>
      </c>
      <c r="N34" s="104">
        <v>177.23</v>
      </c>
      <c r="O34" s="105">
        <v>1.127</v>
      </c>
    </row>
    <row r="35">
      <c r="C35" s="80"/>
      <c r="F35" s="81"/>
      <c r="G35" s="81"/>
      <c r="H35" s="91"/>
      <c r="I35" s="101" t="s">
        <v>149</v>
      </c>
      <c r="J35" s="102">
        <v>0.23</v>
      </c>
      <c r="K35" s="103">
        <v>8950.67</v>
      </c>
      <c r="L35" s="106">
        <v>205.86</v>
      </c>
      <c r="M35" s="104">
        <v>8055.6</v>
      </c>
      <c r="N35" s="104">
        <v>185.29</v>
      </c>
      <c r="O35" s="105">
        <v>1.082</v>
      </c>
    </row>
    <row r="36">
      <c r="C36" s="80"/>
      <c r="F36" s="81"/>
      <c r="G36" s="81"/>
      <c r="H36" s="97"/>
      <c r="I36" s="101" t="s">
        <v>149</v>
      </c>
      <c r="J36" s="102">
        <v>0.24</v>
      </c>
      <c r="K36" s="103">
        <v>8950.67</v>
      </c>
      <c r="L36" s="106">
        <v>214.8</v>
      </c>
      <c r="M36" s="104">
        <v>8055.6</v>
      </c>
      <c r="N36" s="107">
        <v>193.35</v>
      </c>
      <c r="O36" s="105">
        <v>1.042</v>
      </c>
    </row>
    <row r="37">
      <c r="C37" s="80"/>
      <c r="F37" s="81"/>
      <c r="G37" s="81"/>
      <c r="H37" s="108" t="s">
        <v>150</v>
      </c>
      <c r="I37" s="109" t="s">
        <v>151</v>
      </c>
      <c r="J37" s="110">
        <v>0.2</v>
      </c>
      <c r="K37" s="111">
        <v>9537.45</v>
      </c>
      <c r="L37" s="112">
        <v>190.75</v>
      </c>
      <c r="M37" s="112">
        <v>8583.7</v>
      </c>
      <c r="N37" s="112">
        <v>173.83</v>
      </c>
      <c r="O37" s="113">
        <v>1.155</v>
      </c>
    </row>
    <row r="38">
      <c r="C38" s="80"/>
      <c r="F38" s="81"/>
      <c r="G38" s="81"/>
      <c r="H38" s="91"/>
      <c r="I38" s="109" t="s">
        <v>151</v>
      </c>
      <c r="J38" s="110">
        <v>0.21</v>
      </c>
      <c r="K38" s="111">
        <v>9537.45</v>
      </c>
      <c r="L38" s="112">
        <v>197.56</v>
      </c>
      <c r="M38" s="112">
        <v>8583.7</v>
      </c>
      <c r="N38" s="112">
        <v>181.48</v>
      </c>
      <c r="O38" s="113">
        <v>1.11</v>
      </c>
    </row>
    <row r="39">
      <c r="C39" s="80"/>
      <c r="F39" s="81"/>
      <c r="G39" s="81"/>
      <c r="H39" s="91"/>
      <c r="I39" s="109" t="s">
        <v>151</v>
      </c>
      <c r="J39" s="110">
        <v>0.22</v>
      </c>
      <c r="K39" s="111">
        <v>9537.45</v>
      </c>
      <c r="L39" s="114">
        <v>208.64</v>
      </c>
      <c r="M39" s="112">
        <v>8583.7</v>
      </c>
      <c r="N39" s="112">
        <v>189.13</v>
      </c>
      <c r="O39" s="113">
        <v>1.05</v>
      </c>
    </row>
    <row r="40">
      <c r="C40" s="80"/>
      <c r="F40" s="81"/>
      <c r="G40" s="81"/>
      <c r="H40" s="91"/>
      <c r="I40" s="109" t="s">
        <v>151</v>
      </c>
      <c r="J40" s="110">
        <v>0.23</v>
      </c>
      <c r="K40" s="111">
        <v>9537.45</v>
      </c>
      <c r="L40" s="114">
        <v>218.52</v>
      </c>
      <c r="M40" s="112">
        <v>8583.7</v>
      </c>
      <c r="N40" s="112">
        <v>196.78</v>
      </c>
      <c r="O40" s="113">
        <v>1.008</v>
      </c>
    </row>
    <row r="41">
      <c r="C41" s="80"/>
      <c r="F41" s="81"/>
      <c r="G41" s="81"/>
      <c r="H41" s="97"/>
      <c r="I41" s="115" t="s">
        <v>151</v>
      </c>
      <c r="J41" s="116">
        <v>0.24</v>
      </c>
      <c r="K41" s="117">
        <v>9537.45</v>
      </c>
      <c r="L41" s="118">
        <v>228.09</v>
      </c>
      <c r="M41" s="119">
        <v>8583.7</v>
      </c>
      <c r="N41" s="120">
        <v>204.43</v>
      </c>
      <c r="O41" s="121">
        <v>0.972</v>
      </c>
    </row>
    <row r="42">
      <c r="C42" s="80"/>
      <c r="F42" s="81"/>
      <c r="G42" s="81"/>
      <c r="H42" s="82"/>
      <c r="K42" s="49"/>
      <c r="L42" s="50"/>
      <c r="O42" s="51"/>
    </row>
    <row r="43">
      <c r="C43" s="80"/>
      <c r="F43" s="81"/>
      <c r="G43" s="81"/>
      <c r="H43" s="82"/>
      <c r="K43" s="49"/>
      <c r="L43" s="50"/>
      <c r="O43" s="51"/>
    </row>
    <row r="44">
      <c r="C44" s="80"/>
      <c r="F44" s="81"/>
      <c r="G44" s="81"/>
      <c r="H44" s="82"/>
      <c r="K44" s="49"/>
      <c r="L44" s="50"/>
      <c r="O44" s="51"/>
    </row>
    <row r="45">
      <c r="C45" s="80"/>
      <c r="F45" s="81"/>
      <c r="G45" s="81"/>
      <c r="H45" s="82"/>
      <c r="K45" s="49"/>
      <c r="L45" s="50"/>
      <c r="O45" s="51"/>
    </row>
    <row r="46">
      <c r="C46" s="80"/>
      <c r="F46" s="81"/>
      <c r="G46" s="81"/>
      <c r="H46" s="82"/>
      <c r="K46" s="49"/>
      <c r="L46" s="50"/>
      <c r="O46" s="51"/>
    </row>
    <row r="47">
      <c r="C47" s="80"/>
      <c r="F47" s="81"/>
      <c r="G47" s="81"/>
      <c r="H47" s="82"/>
      <c r="K47" s="49"/>
      <c r="L47" s="50"/>
      <c r="O47" s="51"/>
    </row>
    <row r="48">
      <c r="C48" s="80"/>
      <c r="F48" s="81"/>
      <c r="G48" s="81"/>
      <c r="H48" s="82"/>
      <c r="K48" s="49"/>
      <c r="L48" s="50"/>
      <c r="O48" s="51"/>
    </row>
    <row r="49">
      <c r="C49" s="80"/>
      <c r="F49" s="81"/>
      <c r="G49" s="81"/>
      <c r="H49" s="82"/>
      <c r="K49" s="49"/>
      <c r="L49" s="50"/>
      <c r="O49" s="51"/>
    </row>
    <row r="50">
      <c r="C50" s="80"/>
      <c r="F50" s="81"/>
      <c r="G50" s="81"/>
      <c r="H50" s="82"/>
      <c r="K50" s="49"/>
      <c r="L50" s="50"/>
      <c r="O50" s="51"/>
    </row>
    <row r="51">
      <c r="C51" s="80"/>
      <c r="F51" s="81"/>
      <c r="G51" s="81"/>
      <c r="H51" s="82"/>
      <c r="K51" s="49"/>
      <c r="L51" s="50"/>
      <c r="O51" s="51"/>
    </row>
    <row r="52">
      <c r="C52" s="80"/>
      <c r="F52" s="81"/>
      <c r="G52" s="81"/>
      <c r="H52" s="82"/>
      <c r="K52" s="49"/>
      <c r="L52" s="50"/>
      <c r="O52" s="51"/>
    </row>
    <row r="53">
      <c r="C53" s="80"/>
      <c r="F53" s="81"/>
      <c r="G53" s="81"/>
      <c r="H53" s="82"/>
      <c r="K53" s="49"/>
      <c r="L53" s="50"/>
      <c r="O53" s="51"/>
    </row>
    <row r="54">
      <c r="C54" s="80"/>
      <c r="F54" s="81"/>
      <c r="G54" s="81"/>
      <c r="H54" s="82"/>
      <c r="K54" s="49"/>
      <c r="L54" s="50"/>
      <c r="O54" s="51"/>
    </row>
    <row r="55">
      <c r="C55" s="80"/>
      <c r="F55" s="81"/>
      <c r="G55" s="81"/>
      <c r="H55" s="82"/>
      <c r="K55" s="49"/>
      <c r="L55" s="50"/>
      <c r="O55" s="51"/>
    </row>
    <row r="56">
      <c r="C56" s="80"/>
      <c r="F56" s="81"/>
      <c r="G56" s="81"/>
      <c r="H56" s="82"/>
      <c r="K56" s="49"/>
      <c r="L56" s="50"/>
      <c r="O56" s="51"/>
    </row>
    <row r="57">
      <c r="C57" s="80"/>
      <c r="F57" s="81"/>
      <c r="G57" s="81"/>
      <c r="H57" s="82"/>
      <c r="K57" s="49"/>
      <c r="L57" s="50"/>
      <c r="O57" s="51"/>
    </row>
    <row r="58">
      <c r="C58" s="80"/>
      <c r="F58" s="81"/>
      <c r="G58" s="81"/>
      <c r="H58" s="82"/>
      <c r="K58" s="49"/>
      <c r="L58" s="50"/>
      <c r="O58" s="51"/>
    </row>
    <row r="59">
      <c r="C59" s="80"/>
      <c r="F59" s="81"/>
      <c r="G59" s="81"/>
      <c r="H59" s="82"/>
      <c r="K59" s="49"/>
      <c r="L59" s="50"/>
      <c r="O59" s="51"/>
    </row>
    <row r="60">
      <c r="C60" s="80"/>
      <c r="F60" s="81"/>
      <c r="G60" s="81"/>
      <c r="H60" s="82"/>
      <c r="K60" s="49"/>
      <c r="L60" s="50"/>
      <c r="O60" s="51"/>
    </row>
    <row r="61">
      <c r="C61" s="80"/>
      <c r="F61" s="81"/>
      <c r="G61" s="81"/>
      <c r="H61" s="82"/>
      <c r="K61" s="49"/>
      <c r="L61" s="50"/>
      <c r="O61" s="51"/>
    </row>
    <row r="62">
      <c r="C62" s="80"/>
      <c r="F62" s="81"/>
      <c r="G62" s="81"/>
      <c r="H62" s="82"/>
      <c r="K62" s="49"/>
      <c r="L62" s="50"/>
      <c r="O62" s="51"/>
    </row>
    <row r="63">
      <c r="C63" s="80"/>
      <c r="F63" s="81"/>
      <c r="G63" s="81"/>
      <c r="H63" s="82"/>
      <c r="K63" s="49"/>
      <c r="L63" s="50"/>
      <c r="O63" s="51"/>
    </row>
    <row r="64">
      <c r="C64" s="80"/>
      <c r="F64" s="81"/>
      <c r="G64" s="81"/>
      <c r="H64" s="82"/>
      <c r="K64" s="49"/>
      <c r="L64" s="50"/>
      <c r="O64" s="51"/>
    </row>
    <row r="65">
      <c r="C65" s="80"/>
      <c r="F65" s="81"/>
      <c r="G65" s="81"/>
      <c r="H65" s="82"/>
      <c r="K65" s="49"/>
      <c r="L65" s="50"/>
      <c r="O65" s="51"/>
    </row>
    <row r="66">
      <c r="C66" s="80"/>
      <c r="F66" s="81"/>
      <c r="G66" s="81"/>
      <c r="H66" s="82"/>
      <c r="K66" s="49"/>
      <c r="L66" s="50"/>
      <c r="O66" s="51"/>
    </row>
    <row r="67">
      <c r="C67" s="80"/>
      <c r="F67" s="81"/>
      <c r="G67" s="81"/>
      <c r="H67" s="82"/>
      <c r="K67" s="49"/>
      <c r="L67" s="50"/>
      <c r="O67" s="51"/>
    </row>
    <row r="68">
      <c r="C68" s="80"/>
      <c r="F68" s="81"/>
      <c r="G68" s="81"/>
      <c r="H68" s="82"/>
      <c r="K68" s="49"/>
      <c r="L68" s="50"/>
      <c r="O68" s="51"/>
    </row>
    <row r="69">
      <c r="C69" s="80"/>
      <c r="F69" s="81"/>
      <c r="G69" s="81"/>
      <c r="H69" s="82"/>
      <c r="K69" s="49"/>
      <c r="L69" s="50"/>
      <c r="O69" s="51"/>
    </row>
    <row r="70">
      <c r="C70" s="80"/>
      <c r="F70" s="81"/>
      <c r="G70" s="81"/>
      <c r="H70" s="82"/>
      <c r="K70" s="49"/>
      <c r="L70" s="50"/>
      <c r="O70" s="51"/>
    </row>
    <row r="71">
      <c r="C71" s="80"/>
      <c r="F71" s="81"/>
      <c r="G71" s="81"/>
      <c r="H71" s="82"/>
      <c r="K71" s="49"/>
      <c r="L71" s="50"/>
      <c r="O71" s="51"/>
    </row>
    <row r="72">
      <c r="C72" s="80"/>
      <c r="F72" s="81"/>
      <c r="G72" s="81"/>
      <c r="H72" s="82"/>
      <c r="K72" s="49"/>
      <c r="L72" s="50"/>
      <c r="O72" s="51"/>
    </row>
    <row r="73">
      <c r="C73" s="80"/>
      <c r="F73" s="81"/>
      <c r="G73" s="81"/>
      <c r="H73" s="82"/>
      <c r="K73" s="49"/>
      <c r="L73" s="50"/>
      <c r="O73" s="51"/>
    </row>
    <row r="74">
      <c r="C74" s="80"/>
      <c r="F74" s="81"/>
      <c r="G74" s="81"/>
      <c r="H74" s="82"/>
      <c r="K74" s="49"/>
      <c r="L74" s="50"/>
      <c r="O74" s="51"/>
    </row>
    <row r="75">
      <c r="C75" s="80"/>
      <c r="F75" s="81"/>
      <c r="G75" s="81"/>
      <c r="H75" s="82"/>
      <c r="K75" s="49"/>
      <c r="L75" s="50"/>
      <c r="O75" s="51"/>
    </row>
    <row r="76">
      <c r="C76" s="80"/>
      <c r="F76" s="81"/>
      <c r="G76" s="81"/>
      <c r="H76" s="82"/>
      <c r="K76" s="49"/>
      <c r="L76" s="50"/>
      <c r="O76" s="51"/>
    </row>
    <row r="77">
      <c r="C77" s="80"/>
      <c r="F77" s="81"/>
      <c r="G77" s="81"/>
      <c r="H77" s="82"/>
      <c r="K77" s="49"/>
      <c r="L77" s="50"/>
      <c r="O77" s="51"/>
    </row>
    <row r="78">
      <c r="C78" s="80"/>
      <c r="F78" s="81"/>
      <c r="G78" s="81"/>
      <c r="H78" s="82"/>
      <c r="K78" s="49"/>
      <c r="L78" s="50"/>
      <c r="O78" s="51"/>
    </row>
    <row r="79">
      <c r="C79" s="80"/>
      <c r="F79" s="81"/>
      <c r="G79" s="81"/>
      <c r="H79" s="82"/>
      <c r="K79" s="49"/>
      <c r="L79" s="50"/>
      <c r="O79" s="51"/>
    </row>
    <row r="80">
      <c r="C80" s="80"/>
      <c r="F80" s="81"/>
      <c r="G80" s="81"/>
      <c r="H80" s="82"/>
      <c r="K80" s="49"/>
      <c r="L80" s="50"/>
      <c r="O80" s="51"/>
    </row>
    <row r="81">
      <c r="C81" s="80"/>
      <c r="F81" s="81"/>
      <c r="G81" s="81"/>
      <c r="H81" s="82"/>
      <c r="K81" s="49"/>
      <c r="L81" s="50"/>
      <c r="O81" s="51"/>
    </row>
    <row r="82">
      <c r="C82" s="80"/>
      <c r="F82" s="81"/>
      <c r="G82" s="81"/>
      <c r="H82" s="82"/>
      <c r="K82" s="49"/>
      <c r="L82" s="50"/>
      <c r="O82" s="51"/>
    </row>
    <row r="83">
      <c r="C83" s="80"/>
      <c r="F83" s="81"/>
      <c r="G83" s="81"/>
      <c r="H83" s="82"/>
      <c r="K83" s="49"/>
      <c r="L83" s="50"/>
      <c r="O83" s="51"/>
    </row>
    <row r="84">
      <c r="C84" s="80"/>
      <c r="F84" s="81"/>
      <c r="G84" s="81"/>
      <c r="H84" s="82"/>
      <c r="K84" s="49"/>
      <c r="L84" s="50"/>
      <c r="O84" s="51"/>
    </row>
    <row r="85">
      <c r="C85" s="80"/>
      <c r="F85" s="81"/>
      <c r="G85" s="81"/>
      <c r="H85" s="82"/>
      <c r="K85" s="49"/>
      <c r="L85" s="50"/>
      <c r="O85" s="51"/>
    </row>
    <row r="86">
      <c r="C86" s="80"/>
      <c r="F86" s="81"/>
      <c r="G86" s="81"/>
      <c r="H86" s="82"/>
      <c r="K86" s="49"/>
      <c r="L86" s="50"/>
      <c r="O86" s="51"/>
    </row>
    <row r="87">
      <c r="C87" s="80"/>
      <c r="F87" s="81"/>
      <c r="G87" s="81"/>
      <c r="H87" s="82"/>
      <c r="K87" s="49"/>
      <c r="L87" s="50"/>
      <c r="O87" s="51"/>
    </row>
    <row r="88">
      <c r="C88" s="80"/>
      <c r="F88" s="81"/>
      <c r="G88" s="81"/>
      <c r="H88" s="82"/>
      <c r="K88" s="49"/>
      <c r="L88" s="50"/>
      <c r="O88" s="51"/>
    </row>
    <row r="89">
      <c r="C89" s="80"/>
      <c r="F89" s="81"/>
      <c r="G89" s="81"/>
      <c r="H89" s="82"/>
      <c r="K89" s="49"/>
      <c r="L89" s="50"/>
      <c r="O89" s="51"/>
    </row>
    <row r="90">
      <c r="C90" s="80"/>
      <c r="F90" s="81"/>
      <c r="G90" s="81"/>
      <c r="H90" s="82"/>
      <c r="K90" s="49"/>
      <c r="L90" s="50"/>
      <c r="O90" s="51"/>
    </row>
    <row r="91">
      <c r="C91" s="80"/>
      <c r="F91" s="81"/>
      <c r="G91" s="81"/>
      <c r="H91" s="82"/>
      <c r="K91" s="49"/>
      <c r="L91" s="50"/>
      <c r="O91" s="51"/>
    </row>
    <row r="92">
      <c r="C92" s="80"/>
      <c r="F92" s="81"/>
      <c r="G92" s="81"/>
      <c r="H92" s="82"/>
      <c r="K92" s="49"/>
      <c r="L92" s="50"/>
      <c r="O92" s="51"/>
    </row>
    <row r="93">
      <c r="C93" s="80"/>
      <c r="F93" s="81"/>
      <c r="G93" s="81"/>
      <c r="H93" s="82"/>
      <c r="K93" s="49"/>
      <c r="L93" s="50"/>
      <c r="O93" s="51"/>
    </row>
    <row r="94">
      <c r="C94" s="80"/>
      <c r="F94" s="81"/>
      <c r="G94" s="81"/>
      <c r="H94" s="82"/>
      <c r="K94" s="49"/>
      <c r="L94" s="50"/>
      <c r="O94" s="51"/>
    </row>
    <row r="95">
      <c r="C95" s="80"/>
      <c r="F95" s="81"/>
      <c r="G95" s="81"/>
      <c r="H95" s="82"/>
      <c r="K95" s="49"/>
      <c r="L95" s="50"/>
      <c r="O95" s="51"/>
    </row>
    <row r="96">
      <c r="C96" s="80"/>
      <c r="F96" s="81"/>
      <c r="G96" s="81"/>
      <c r="H96" s="82"/>
      <c r="K96" s="49"/>
      <c r="L96" s="50"/>
      <c r="O96" s="51"/>
    </row>
    <row r="97">
      <c r="C97" s="80"/>
      <c r="F97" s="81"/>
      <c r="G97" s="81"/>
      <c r="H97" s="82"/>
      <c r="K97" s="49"/>
      <c r="L97" s="50"/>
      <c r="O97" s="51"/>
    </row>
    <row r="98">
      <c r="C98" s="80"/>
      <c r="F98" s="81"/>
      <c r="G98" s="81"/>
      <c r="H98" s="82"/>
      <c r="K98" s="49"/>
      <c r="L98" s="50"/>
      <c r="O98" s="51"/>
    </row>
    <row r="99">
      <c r="C99" s="80"/>
      <c r="F99" s="81"/>
      <c r="G99" s="81"/>
      <c r="H99" s="82"/>
      <c r="K99" s="49"/>
      <c r="L99" s="50"/>
      <c r="O99" s="51"/>
    </row>
    <row r="100">
      <c r="C100" s="80"/>
      <c r="F100" s="81"/>
      <c r="G100" s="81"/>
      <c r="H100" s="82"/>
      <c r="K100" s="49"/>
      <c r="L100" s="50"/>
      <c r="O100" s="51"/>
    </row>
    <row r="101">
      <c r="C101" s="80"/>
      <c r="F101" s="81"/>
      <c r="G101" s="81"/>
      <c r="H101" s="82"/>
      <c r="K101" s="49"/>
      <c r="L101" s="50"/>
      <c r="O101" s="51"/>
    </row>
    <row r="102">
      <c r="C102" s="80"/>
      <c r="F102" s="81"/>
      <c r="G102" s="81"/>
      <c r="H102" s="82"/>
      <c r="K102" s="49"/>
      <c r="L102" s="50"/>
      <c r="O102" s="51"/>
    </row>
    <row r="103">
      <c r="C103" s="80"/>
      <c r="F103" s="81"/>
      <c r="G103" s="81"/>
      <c r="H103" s="82"/>
      <c r="K103" s="49"/>
      <c r="L103" s="50"/>
      <c r="O103" s="51"/>
    </row>
    <row r="104">
      <c r="C104" s="80"/>
      <c r="F104" s="81"/>
      <c r="G104" s="81"/>
      <c r="H104" s="82"/>
      <c r="K104" s="49"/>
      <c r="L104" s="50"/>
      <c r="O104" s="51"/>
    </row>
    <row r="105">
      <c r="C105" s="80"/>
      <c r="F105" s="81"/>
      <c r="G105" s="81"/>
      <c r="H105" s="82"/>
      <c r="K105" s="49"/>
      <c r="L105" s="50"/>
      <c r="O105" s="51"/>
    </row>
    <row r="106">
      <c r="C106" s="80"/>
      <c r="F106" s="81"/>
      <c r="G106" s="81"/>
      <c r="H106" s="82"/>
      <c r="K106" s="49"/>
      <c r="L106" s="50"/>
      <c r="O106" s="51"/>
    </row>
    <row r="107">
      <c r="C107" s="80"/>
      <c r="F107" s="81"/>
      <c r="G107" s="81"/>
      <c r="H107" s="82"/>
      <c r="K107" s="49"/>
      <c r="L107" s="50"/>
      <c r="O107" s="51"/>
    </row>
    <row r="108">
      <c r="C108" s="80"/>
      <c r="F108" s="81"/>
      <c r="G108" s="81"/>
      <c r="H108" s="82"/>
      <c r="K108" s="49"/>
      <c r="L108" s="50"/>
      <c r="O108" s="51"/>
    </row>
    <row r="109">
      <c r="C109" s="80"/>
      <c r="F109" s="81"/>
      <c r="G109" s="81"/>
      <c r="H109" s="82"/>
      <c r="K109" s="49"/>
      <c r="L109" s="50"/>
      <c r="O109" s="51"/>
    </row>
    <row r="110">
      <c r="C110" s="80"/>
      <c r="F110" s="81"/>
      <c r="G110" s="81"/>
      <c r="H110" s="82"/>
      <c r="K110" s="49"/>
      <c r="L110" s="50"/>
      <c r="O110" s="51"/>
    </row>
    <row r="111">
      <c r="C111" s="80"/>
      <c r="F111" s="81"/>
      <c r="G111" s="81"/>
      <c r="H111" s="82"/>
      <c r="K111" s="49"/>
      <c r="L111" s="50"/>
      <c r="O111" s="51"/>
    </row>
    <row r="112">
      <c r="C112" s="80"/>
      <c r="F112" s="81"/>
      <c r="G112" s="81"/>
      <c r="H112" s="82"/>
      <c r="K112" s="49"/>
      <c r="L112" s="50"/>
      <c r="O112" s="51"/>
    </row>
    <row r="113">
      <c r="C113" s="80"/>
      <c r="F113" s="81"/>
      <c r="G113" s="81"/>
      <c r="H113" s="82"/>
      <c r="K113" s="49"/>
      <c r="L113" s="50"/>
      <c r="O113" s="51"/>
    </row>
    <row r="114">
      <c r="C114" s="80"/>
      <c r="F114" s="81"/>
      <c r="G114" s="81"/>
      <c r="H114" s="82"/>
      <c r="K114" s="49"/>
      <c r="L114" s="50"/>
      <c r="O114" s="51"/>
    </row>
    <row r="115">
      <c r="C115" s="80"/>
      <c r="F115" s="81"/>
      <c r="G115" s="81"/>
      <c r="H115" s="82"/>
      <c r="K115" s="49"/>
      <c r="L115" s="50"/>
      <c r="O115" s="51"/>
    </row>
    <row r="116">
      <c r="C116" s="80"/>
      <c r="F116" s="81"/>
      <c r="G116" s="81"/>
      <c r="H116" s="82"/>
      <c r="K116" s="49"/>
      <c r="L116" s="50"/>
      <c r="O116" s="51"/>
    </row>
    <row r="117">
      <c r="C117" s="80"/>
      <c r="F117" s="81"/>
      <c r="G117" s="81"/>
      <c r="H117" s="82"/>
      <c r="K117" s="49"/>
      <c r="L117" s="50"/>
      <c r="O117" s="51"/>
    </row>
    <row r="118">
      <c r="C118" s="80"/>
      <c r="F118" s="81"/>
      <c r="G118" s="81"/>
      <c r="H118" s="82"/>
      <c r="K118" s="49"/>
      <c r="L118" s="50"/>
      <c r="O118" s="51"/>
    </row>
    <row r="119">
      <c r="C119" s="80"/>
      <c r="F119" s="81"/>
      <c r="G119" s="81"/>
      <c r="H119" s="82"/>
      <c r="K119" s="49"/>
      <c r="L119" s="50"/>
      <c r="O119" s="51"/>
    </row>
    <row r="120">
      <c r="C120" s="80"/>
      <c r="F120" s="81"/>
      <c r="G120" s="81"/>
      <c r="H120" s="82"/>
      <c r="K120" s="49"/>
      <c r="L120" s="50"/>
      <c r="O120" s="51"/>
    </row>
    <row r="121">
      <c r="C121" s="80"/>
      <c r="F121" s="81"/>
      <c r="G121" s="81"/>
      <c r="H121" s="82"/>
      <c r="K121" s="49"/>
      <c r="L121" s="50"/>
      <c r="O121" s="51"/>
    </row>
    <row r="122">
      <c r="C122" s="80"/>
      <c r="F122" s="81"/>
      <c r="G122" s="81"/>
      <c r="H122" s="82"/>
      <c r="K122" s="49"/>
      <c r="L122" s="50"/>
      <c r="O122" s="51"/>
    </row>
    <row r="123">
      <c r="C123" s="80"/>
      <c r="F123" s="81"/>
      <c r="G123" s="81"/>
      <c r="H123" s="82"/>
      <c r="K123" s="49"/>
      <c r="L123" s="50"/>
      <c r="O123" s="51"/>
    </row>
    <row r="124">
      <c r="C124" s="80"/>
      <c r="F124" s="81"/>
      <c r="G124" s="81"/>
      <c r="H124" s="82"/>
      <c r="K124" s="49"/>
      <c r="L124" s="50"/>
      <c r="O124" s="51"/>
    </row>
    <row r="125">
      <c r="C125" s="80"/>
      <c r="F125" s="81"/>
      <c r="G125" s="81"/>
      <c r="H125" s="82"/>
      <c r="K125" s="49"/>
      <c r="L125" s="50"/>
      <c r="O125" s="51"/>
    </row>
    <row r="126">
      <c r="C126" s="80"/>
      <c r="F126" s="81"/>
      <c r="G126" s="81"/>
      <c r="H126" s="82"/>
      <c r="K126" s="49"/>
      <c r="L126" s="50"/>
      <c r="O126" s="51"/>
    </row>
    <row r="127">
      <c r="C127" s="80"/>
      <c r="F127" s="81"/>
      <c r="G127" s="81"/>
      <c r="H127" s="82"/>
      <c r="K127" s="49"/>
      <c r="L127" s="50"/>
      <c r="O127" s="51"/>
    </row>
    <row r="128">
      <c r="C128" s="80"/>
      <c r="F128" s="81"/>
      <c r="G128" s="81"/>
      <c r="H128" s="82"/>
      <c r="K128" s="49"/>
      <c r="L128" s="50"/>
      <c r="O128" s="51"/>
    </row>
    <row r="129">
      <c r="C129" s="80"/>
      <c r="F129" s="81"/>
      <c r="G129" s="81"/>
      <c r="H129" s="82"/>
      <c r="K129" s="49"/>
      <c r="L129" s="50"/>
      <c r="O129" s="51"/>
    </row>
    <row r="130">
      <c r="C130" s="80"/>
      <c r="F130" s="81"/>
      <c r="G130" s="81"/>
      <c r="H130" s="82"/>
      <c r="K130" s="49"/>
      <c r="L130" s="50"/>
      <c r="O130" s="51"/>
    </row>
    <row r="131">
      <c r="C131" s="80"/>
      <c r="F131" s="81"/>
      <c r="G131" s="81"/>
      <c r="H131" s="82"/>
      <c r="K131" s="49"/>
      <c r="L131" s="50"/>
      <c r="O131" s="51"/>
    </row>
    <row r="132">
      <c r="C132" s="80"/>
      <c r="F132" s="81"/>
      <c r="G132" s="81"/>
      <c r="H132" s="82"/>
      <c r="K132" s="49"/>
      <c r="L132" s="50"/>
      <c r="O132" s="51"/>
    </row>
    <row r="133">
      <c r="C133" s="80"/>
      <c r="F133" s="81"/>
      <c r="G133" s="81"/>
      <c r="H133" s="82"/>
      <c r="K133" s="49"/>
      <c r="L133" s="50"/>
      <c r="O133" s="51"/>
    </row>
    <row r="134">
      <c r="C134" s="80"/>
      <c r="F134" s="81"/>
      <c r="G134" s="81"/>
      <c r="H134" s="82"/>
      <c r="K134" s="49"/>
      <c r="L134" s="50"/>
      <c r="O134" s="51"/>
    </row>
    <row r="135">
      <c r="C135" s="80"/>
      <c r="F135" s="81"/>
      <c r="G135" s="81"/>
      <c r="H135" s="82"/>
      <c r="K135" s="49"/>
      <c r="L135" s="50"/>
      <c r="O135" s="51"/>
    </row>
    <row r="136">
      <c r="C136" s="80"/>
      <c r="F136" s="81"/>
      <c r="G136" s="81"/>
      <c r="H136" s="82"/>
      <c r="K136" s="49"/>
      <c r="L136" s="50"/>
      <c r="O136" s="51"/>
    </row>
    <row r="137">
      <c r="C137" s="80"/>
      <c r="F137" s="81"/>
      <c r="G137" s="81"/>
      <c r="H137" s="82"/>
      <c r="K137" s="49"/>
      <c r="L137" s="50"/>
      <c r="O137" s="51"/>
    </row>
    <row r="138">
      <c r="C138" s="80"/>
      <c r="F138" s="81"/>
      <c r="G138" s="81"/>
      <c r="H138" s="82"/>
      <c r="K138" s="49"/>
      <c r="L138" s="50"/>
      <c r="O138" s="51"/>
    </row>
    <row r="139">
      <c r="C139" s="80"/>
      <c r="F139" s="81"/>
      <c r="G139" s="81"/>
      <c r="H139" s="82"/>
      <c r="K139" s="49"/>
      <c r="L139" s="50"/>
      <c r="O139" s="51"/>
    </row>
    <row r="140">
      <c r="C140" s="80"/>
      <c r="F140" s="81"/>
      <c r="G140" s="81"/>
      <c r="H140" s="82"/>
      <c r="K140" s="49"/>
      <c r="L140" s="50"/>
      <c r="O140" s="51"/>
    </row>
    <row r="141">
      <c r="C141" s="80"/>
      <c r="F141" s="81"/>
      <c r="G141" s="81"/>
      <c r="H141" s="82"/>
      <c r="K141" s="49"/>
      <c r="L141" s="50"/>
      <c r="O141" s="51"/>
    </row>
    <row r="142">
      <c r="C142" s="80"/>
      <c r="F142" s="81"/>
      <c r="G142" s="81"/>
      <c r="H142" s="82"/>
      <c r="K142" s="49"/>
      <c r="L142" s="50"/>
      <c r="O142" s="51"/>
    </row>
    <row r="143">
      <c r="C143" s="80"/>
      <c r="F143" s="81"/>
      <c r="G143" s="81"/>
      <c r="H143" s="82"/>
      <c r="K143" s="49"/>
      <c r="L143" s="50"/>
      <c r="O143" s="51"/>
    </row>
    <row r="144">
      <c r="C144" s="80"/>
      <c r="F144" s="81"/>
      <c r="G144" s="81"/>
      <c r="H144" s="82"/>
      <c r="K144" s="49"/>
      <c r="L144" s="50"/>
      <c r="O144" s="51"/>
    </row>
    <row r="145">
      <c r="C145" s="80"/>
      <c r="F145" s="81"/>
      <c r="G145" s="81"/>
      <c r="H145" s="82"/>
      <c r="K145" s="49"/>
      <c r="L145" s="50"/>
      <c r="O145" s="51"/>
    </row>
    <row r="146">
      <c r="C146" s="80"/>
      <c r="F146" s="81"/>
      <c r="G146" s="81"/>
      <c r="H146" s="82"/>
      <c r="K146" s="49"/>
      <c r="L146" s="50"/>
      <c r="O146" s="51"/>
    </row>
    <row r="147">
      <c r="C147" s="80"/>
      <c r="F147" s="81"/>
      <c r="G147" s="81"/>
      <c r="H147" s="82"/>
      <c r="K147" s="49"/>
      <c r="L147" s="50"/>
      <c r="O147" s="51"/>
    </row>
    <row r="148">
      <c r="C148" s="80"/>
      <c r="F148" s="81"/>
      <c r="G148" s="81"/>
      <c r="H148" s="82"/>
      <c r="K148" s="49"/>
      <c r="L148" s="50"/>
      <c r="O148" s="51"/>
    </row>
    <row r="149">
      <c r="C149" s="80"/>
      <c r="F149" s="81"/>
      <c r="G149" s="81"/>
      <c r="H149" s="82"/>
      <c r="K149" s="49"/>
      <c r="L149" s="50"/>
      <c r="O149" s="51"/>
    </row>
    <row r="150">
      <c r="C150" s="80"/>
      <c r="F150" s="81"/>
      <c r="G150" s="81"/>
      <c r="H150" s="82"/>
      <c r="K150" s="49"/>
      <c r="L150" s="50"/>
      <c r="O150" s="51"/>
    </row>
    <row r="151">
      <c r="C151" s="80"/>
      <c r="F151" s="81"/>
      <c r="G151" s="81"/>
      <c r="H151" s="82"/>
      <c r="K151" s="49"/>
      <c r="L151" s="50"/>
      <c r="O151" s="51"/>
    </row>
    <row r="152">
      <c r="C152" s="80"/>
      <c r="F152" s="81"/>
      <c r="G152" s="81"/>
      <c r="H152" s="82"/>
      <c r="K152" s="49"/>
      <c r="L152" s="50"/>
      <c r="O152" s="51"/>
    </row>
    <row r="153">
      <c r="C153" s="80"/>
      <c r="F153" s="81"/>
      <c r="G153" s="81"/>
      <c r="H153" s="82"/>
      <c r="K153" s="49"/>
      <c r="L153" s="50"/>
      <c r="O153" s="51"/>
    </row>
    <row r="154">
      <c r="C154" s="80"/>
      <c r="F154" s="81"/>
      <c r="G154" s="81"/>
      <c r="H154" s="82"/>
      <c r="K154" s="49"/>
      <c r="L154" s="50"/>
      <c r="O154" s="51"/>
    </row>
    <row r="155">
      <c r="C155" s="80"/>
      <c r="F155" s="81"/>
      <c r="G155" s="81"/>
      <c r="H155" s="82"/>
      <c r="K155" s="49"/>
      <c r="L155" s="50"/>
      <c r="O155" s="51"/>
    </row>
    <row r="156">
      <c r="C156" s="80"/>
      <c r="F156" s="81"/>
      <c r="G156" s="81"/>
      <c r="H156" s="82"/>
      <c r="K156" s="49"/>
      <c r="L156" s="50"/>
      <c r="O156" s="51"/>
    </row>
    <row r="157">
      <c r="C157" s="80"/>
      <c r="F157" s="81"/>
      <c r="G157" s="81"/>
      <c r="H157" s="82"/>
      <c r="K157" s="49"/>
      <c r="L157" s="50"/>
      <c r="O157" s="51"/>
    </row>
    <row r="158">
      <c r="C158" s="80"/>
      <c r="F158" s="81"/>
      <c r="G158" s="81"/>
      <c r="H158" s="82"/>
      <c r="K158" s="49"/>
      <c r="L158" s="50"/>
      <c r="O158" s="51"/>
    </row>
    <row r="159">
      <c r="C159" s="80"/>
      <c r="F159" s="81"/>
      <c r="G159" s="81"/>
      <c r="H159" s="82"/>
      <c r="K159" s="49"/>
      <c r="L159" s="50"/>
      <c r="O159" s="51"/>
    </row>
    <row r="160">
      <c r="C160" s="80"/>
      <c r="F160" s="81"/>
      <c r="G160" s="81"/>
      <c r="H160" s="82"/>
      <c r="K160" s="49"/>
      <c r="L160" s="50"/>
      <c r="O160" s="51"/>
    </row>
    <row r="161">
      <c r="C161" s="80"/>
      <c r="F161" s="81"/>
      <c r="G161" s="81"/>
      <c r="H161" s="82"/>
      <c r="K161" s="49"/>
      <c r="L161" s="50"/>
      <c r="O161" s="51"/>
    </row>
    <row r="162">
      <c r="C162" s="80"/>
      <c r="F162" s="81"/>
      <c r="G162" s="81"/>
      <c r="H162" s="82"/>
      <c r="K162" s="49"/>
      <c r="L162" s="50"/>
      <c r="O162" s="51"/>
    </row>
    <row r="163">
      <c r="C163" s="80"/>
      <c r="F163" s="81"/>
      <c r="G163" s="81"/>
      <c r="H163" s="82"/>
      <c r="K163" s="49"/>
      <c r="L163" s="50"/>
      <c r="O163" s="51"/>
    </row>
    <row r="164">
      <c r="C164" s="80"/>
      <c r="F164" s="81"/>
      <c r="G164" s="81"/>
      <c r="H164" s="82"/>
      <c r="K164" s="49"/>
      <c r="L164" s="50"/>
      <c r="O164" s="51"/>
    </row>
    <row r="165">
      <c r="C165" s="80"/>
      <c r="F165" s="81"/>
      <c r="G165" s="81"/>
      <c r="H165" s="82"/>
      <c r="K165" s="49"/>
      <c r="L165" s="50"/>
      <c r="O165" s="51"/>
    </row>
    <row r="166">
      <c r="C166" s="80"/>
      <c r="F166" s="81"/>
      <c r="G166" s="81"/>
      <c r="H166" s="82"/>
      <c r="K166" s="49"/>
      <c r="L166" s="50"/>
      <c r="O166" s="51"/>
    </row>
    <row r="167">
      <c r="C167" s="80"/>
      <c r="F167" s="81"/>
      <c r="G167" s="81"/>
      <c r="H167" s="82"/>
      <c r="K167" s="49"/>
      <c r="L167" s="50"/>
      <c r="O167" s="51"/>
    </row>
    <row r="168">
      <c r="C168" s="80"/>
      <c r="F168" s="81"/>
      <c r="G168" s="81"/>
      <c r="H168" s="82"/>
      <c r="K168" s="49"/>
      <c r="L168" s="50"/>
      <c r="O168" s="51"/>
    </row>
    <row r="169">
      <c r="C169" s="80"/>
      <c r="F169" s="81"/>
      <c r="G169" s="81"/>
      <c r="H169" s="82"/>
      <c r="K169" s="49"/>
      <c r="L169" s="50"/>
      <c r="O169" s="51"/>
    </row>
    <row r="170">
      <c r="C170" s="80"/>
      <c r="F170" s="81"/>
      <c r="G170" s="81"/>
      <c r="H170" s="82"/>
      <c r="K170" s="49"/>
      <c r="L170" s="50"/>
      <c r="O170" s="51"/>
    </row>
    <row r="171">
      <c r="C171" s="80"/>
      <c r="F171" s="81"/>
      <c r="G171" s="81"/>
      <c r="H171" s="82"/>
      <c r="K171" s="49"/>
      <c r="L171" s="50"/>
      <c r="O171" s="51"/>
    </row>
    <row r="172">
      <c r="C172" s="80"/>
      <c r="F172" s="81"/>
      <c r="G172" s="81"/>
      <c r="H172" s="82"/>
      <c r="K172" s="49"/>
      <c r="L172" s="50"/>
      <c r="O172" s="51"/>
    </row>
    <row r="173">
      <c r="C173" s="80"/>
      <c r="F173" s="81"/>
      <c r="G173" s="81"/>
      <c r="H173" s="82"/>
      <c r="K173" s="49"/>
      <c r="L173" s="50"/>
      <c r="O173" s="51"/>
    </row>
    <row r="174">
      <c r="C174" s="80"/>
      <c r="F174" s="81"/>
      <c r="G174" s="81"/>
      <c r="H174" s="82"/>
      <c r="K174" s="49"/>
      <c r="L174" s="50"/>
      <c r="O174" s="51"/>
    </row>
    <row r="175">
      <c r="C175" s="80"/>
      <c r="F175" s="81"/>
      <c r="G175" s="81"/>
      <c r="H175" s="82"/>
      <c r="K175" s="49"/>
      <c r="L175" s="50"/>
      <c r="O175" s="51"/>
    </row>
    <row r="176">
      <c r="C176" s="80"/>
      <c r="F176" s="81"/>
      <c r="G176" s="81"/>
      <c r="H176" s="82"/>
      <c r="K176" s="49"/>
      <c r="L176" s="50"/>
      <c r="O176" s="51"/>
    </row>
    <row r="177">
      <c r="C177" s="80"/>
      <c r="F177" s="81"/>
      <c r="G177" s="81"/>
      <c r="H177" s="82"/>
      <c r="K177" s="49"/>
      <c r="L177" s="50"/>
      <c r="O177" s="51"/>
    </row>
    <row r="178">
      <c r="C178" s="80"/>
      <c r="F178" s="81"/>
      <c r="G178" s="81"/>
      <c r="H178" s="82"/>
      <c r="K178" s="49"/>
      <c r="L178" s="50"/>
      <c r="O178" s="51"/>
    </row>
    <row r="179">
      <c r="C179" s="80"/>
      <c r="F179" s="81"/>
      <c r="G179" s="81"/>
      <c r="H179" s="82"/>
      <c r="K179" s="49"/>
      <c r="L179" s="50"/>
      <c r="O179" s="51"/>
    </row>
    <row r="180">
      <c r="C180" s="80"/>
      <c r="F180" s="81"/>
      <c r="G180" s="81"/>
      <c r="H180" s="82"/>
      <c r="K180" s="49"/>
      <c r="L180" s="50"/>
      <c r="O180" s="51"/>
    </row>
    <row r="181">
      <c r="C181" s="80"/>
      <c r="F181" s="81"/>
      <c r="G181" s="81"/>
      <c r="H181" s="82"/>
      <c r="K181" s="49"/>
      <c r="L181" s="50"/>
      <c r="O181" s="51"/>
    </row>
    <row r="182">
      <c r="C182" s="80"/>
      <c r="F182" s="81"/>
      <c r="G182" s="81"/>
      <c r="H182" s="82"/>
      <c r="K182" s="49"/>
      <c r="L182" s="50"/>
      <c r="O182" s="51"/>
    </row>
    <row r="183">
      <c r="C183" s="80"/>
      <c r="F183" s="81"/>
      <c r="G183" s="81"/>
      <c r="H183" s="82"/>
      <c r="K183" s="49"/>
      <c r="L183" s="50"/>
      <c r="O183" s="51"/>
    </row>
    <row r="184">
      <c r="C184" s="80"/>
      <c r="F184" s="81"/>
      <c r="G184" s="81"/>
      <c r="H184" s="82"/>
      <c r="K184" s="49"/>
      <c r="L184" s="50"/>
      <c r="O184" s="51"/>
    </row>
    <row r="185">
      <c r="C185" s="80"/>
      <c r="F185" s="81"/>
      <c r="G185" s="81"/>
      <c r="H185" s="82"/>
      <c r="K185" s="49"/>
      <c r="L185" s="50"/>
      <c r="O185" s="51"/>
    </row>
    <row r="186">
      <c r="C186" s="80"/>
      <c r="F186" s="81"/>
      <c r="G186" s="81"/>
      <c r="H186" s="82"/>
      <c r="K186" s="49"/>
      <c r="L186" s="50"/>
      <c r="O186" s="51"/>
    </row>
    <row r="187">
      <c r="C187" s="80"/>
      <c r="F187" s="81"/>
      <c r="G187" s="81"/>
      <c r="H187" s="82"/>
      <c r="K187" s="49"/>
      <c r="L187" s="50"/>
      <c r="O187" s="51"/>
    </row>
    <row r="188">
      <c r="C188" s="80"/>
      <c r="F188" s="81"/>
      <c r="G188" s="81"/>
      <c r="H188" s="82"/>
      <c r="K188" s="49"/>
      <c r="L188" s="50"/>
      <c r="O188" s="51"/>
    </row>
    <row r="189">
      <c r="C189" s="80"/>
      <c r="F189" s="81"/>
      <c r="G189" s="81"/>
      <c r="H189" s="82"/>
      <c r="K189" s="49"/>
      <c r="L189" s="50"/>
      <c r="O189" s="51"/>
    </row>
    <row r="190">
      <c r="C190" s="80"/>
      <c r="F190" s="81"/>
      <c r="G190" s="81"/>
      <c r="H190" s="82"/>
      <c r="K190" s="49"/>
      <c r="L190" s="50"/>
      <c r="O190" s="51"/>
    </row>
    <row r="191">
      <c r="C191" s="80"/>
      <c r="F191" s="81"/>
      <c r="G191" s="81"/>
      <c r="H191" s="82"/>
      <c r="K191" s="49"/>
      <c r="L191" s="50"/>
      <c r="O191" s="51"/>
    </row>
    <row r="192">
      <c r="C192" s="80"/>
      <c r="F192" s="81"/>
      <c r="G192" s="81"/>
      <c r="H192" s="82"/>
      <c r="K192" s="49"/>
      <c r="L192" s="50"/>
      <c r="O192" s="51"/>
    </row>
    <row r="193">
      <c r="C193" s="80"/>
      <c r="F193" s="81"/>
      <c r="G193" s="81"/>
      <c r="H193" s="82"/>
      <c r="K193" s="49"/>
      <c r="L193" s="50"/>
      <c r="O193" s="51"/>
    </row>
    <row r="194">
      <c r="C194" s="80"/>
      <c r="F194" s="81"/>
      <c r="G194" s="81"/>
      <c r="H194" s="82"/>
      <c r="K194" s="49"/>
      <c r="L194" s="50"/>
      <c r="O194" s="51"/>
    </row>
    <row r="195">
      <c r="C195" s="80"/>
      <c r="F195" s="81"/>
      <c r="G195" s="81"/>
      <c r="H195" s="82"/>
      <c r="K195" s="49"/>
      <c r="L195" s="50"/>
      <c r="O195" s="51"/>
    </row>
    <row r="196">
      <c r="C196" s="80"/>
      <c r="F196" s="81"/>
      <c r="G196" s="81"/>
      <c r="H196" s="82"/>
      <c r="K196" s="49"/>
      <c r="L196" s="50"/>
      <c r="O196" s="51"/>
    </row>
    <row r="197">
      <c r="C197" s="80"/>
      <c r="F197" s="81"/>
      <c r="G197" s="81"/>
      <c r="H197" s="82"/>
      <c r="K197" s="49"/>
      <c r="L197" s="50"/>
      <c r="O197" s="51"/>
    </row>
    <row r="198">
      <c r="C198" s="80"/>
      <c r="F198" s="81"/>
      <c r="G198" s="81"/>
      <c r="H198" s="82"/>
      <c r="K198" s="49"/>
      <c r="L198" s="50"/>
      <c r="O198" s="51"/>
    </row>
    <row r="199">
      <c r="C199" s="80"/>
      <c r="F199" s="81"/>
      <c r="G199" s="81"/>
      <c r="H199" s="82"/>
      <c r="K199" s="49"/>
      <c r="L199" s="50"/>
      <c r="O199" s="51"/>
    </row>
    <row r="200">
      <c r="C200" s="80"/>
      <c r="F200" s="81"/>
      <c r="G200" s="81"/>
      <c r="H200" s="82"/>
      <c r="K200" s="49"/>
      <c r="L200" s="50"/>
      <c r="O200" s="51"/>
    </row>
    <row r="201">
      <c r="C201" s="80"/>
      <c r="F201" s="81"/>
      <c r="G201" s="81"/>
      <c r="H201" s="82"/>
      <c r="K201" s="49"/>
      <c r="L201" s="50"/>
      <c r="O201" s="51"/>
    </row>
    <row r="202">
      <c r="C202" s="80"/>
      <c r="F202" s="81"/>
      <c r="G202" s="81"/>
      <c r="H202" s="82"/>
      <c r="K202" s="49"/>
      <c r="L202" s="50"/>
      <c r="O202" s="51"/>
    </row>
    <row r="203">
      <c r="C203" s="80"/>
      <c r="F203" s="81"/>
      <c r="G203" s="81"/>
      <c r="H203" s="82"/>
      <c r="K203" s="49"/>
      <c r="L203" s="50"/>
      <c r="O203" s="51"/>
    </row>
    <row r="204">
      <c r="C204" s="80"/>
      <c r="F204" s="81"/>
      <c r="G204" s="81"/>
      <c r="H204" s="82"/>
      <c r="K204" s="49"/>
      <c r="L204" s="50"/>
      <c r="O204" s="51"/>
    </row>
    <row r="205">
      <c r="C205" s="80"/>
      <c r="F205" s="81"/>
      <c r="G205" s="81"/>
      <c r="H205" s="82"/>
      <c r="K205" s="49"/>
      <c r="L205" s="50"/>
      <c r="O205" s="51"/>
    </row>
    <row r="206">
      <c r="C206" s="80"/>
      <c r="F206" s="81"/>
      <c r="G206" s="81"/>
      <c r="H206" s="82"/>
      <c r="K206" s="49"/>
      <c r="L206" s="50"/>
      <c r="O206" s="51"/>
    </row>
    <row r="207">
      <c r="C207" s="80"/>
      <c r="F207" s="81"/>
      <c r="G207" s="81"/>
      <c r="H207" s="82"/>
      <c r="K207" s="49"/>
      <c r="L207" s="50"/>
      <c r="O207" s="51"/>
    </row>
    <row r="208">
      <c r="C208" s="80"/>
      <c r="F208" s="81"/>
      <c r="G208" s="81"/>
      <c r="H208" s="82"/>
      <c r="K208" s="49"/>
      <c r="L208" s="50"/>
      <c r="O208" s="51"/>
    </row>
    <row r="209">
      <c r="C209" s="80"/>
      <c r="F209" s="81"/>
      <c r="G209" s="81"/>
      <c r="H209" s="82"/>
      <c r="K209" s="49"/>
      <c r="L209" s="50"/>
      <c r="O209" s="51"/>
    </row>
    <row r="210">
      <c r="C210" s="80"/>
      <c r="F210" s="81"/>
      <c r="G210" s="81"/>
      <c r="H210" s="82"/>
      <c r="K210" s="49"/>
      <c r="L210" s="50"/>
      <c r="O210" s="51"/>
    </row>
    <row r="211">
      <c r="C211" s="80"/>
      <c r="F211" s="81"/>
      <c r="G211" s="81"/>
      <c r="H211" s="82"/>
      <c r="K211" s="49"/>
      <c r="L211" s="50"/>
      <c r="O211" s="51"/>
    </row>
    <row r="212">
      <c r="C212" s="80"/>
      <c r="F212" s="81"/>
      <c r="G212" s="81"/>
      <c r="H212" s="82"/>
      <c r="K212" s="49"/>
      <c r="L212" s="50"/>
      <c r="O212" s="51"/>
    </row>
    <row r="213">
      <c r="C213" s="80"/>
      <c r="F213" s="81"/>
      <c r="G213" s="81"/>
      <c r="H213" s="82"/>
      <c r="K213" s="49"/>
      <c r="L213" s="50"/>
      <c r="O213" s="51"/>
    </row>
    <row r="214">
      <c r="C214" s="80"/>
      <c r="F214" s="81"/>
      <c r="G214" s="81"/>
      <c r="H214" s="82"/>
      <c r="K214" s="49"/>
      <c r="L214" s="50"/>
      <c r="O214" s="51"/>
    </row>
    <row r="215">
      <c r="C215" s="80"/>
      <c r="F215" s="81"/>
      <c r="G215" s="81"/>
      <c r="H215" s="82"/>
      <c r="K215" s="49"/>
      <c r="L215" s="50"/>
      <c r="O215" s="51"/>
    </row>
    <row r="216">
      <c r="C216" s="80"/>
      <c r="F216" s="81"/>
      <c r="G216" s="81"/>
      <c r="H216" s="82"/>
      <c r="K216" s="49"/>
      <c r="L216" s="50"/>
      <c r="O216" s="51"/>
    </row>
    <row r="217">
      <c r="C217" s="80"/>
      <c r="F217" s="81"/>
      <c r="G217" s="81"/>
      <c r="H217" s="82"/>
      <c r="K217" s="49"/>
      <c r="L217" s="50"/>
      <c r="O217" s="51"/>
    </row>
    <row r="218">
      <c r="C218" s="80"/>
      <c r="F218" s="81"/>
      <c r="G218" s="81"/>
      <c r="H218" s="82"/>
      <c r="K218" s="49"/>
      <c r="L218" s="50"/>
      <c r="O218" s="51"/>
    </row>
    <row r="219">
      <c r="C219" s="80"/>
      <c r="F219" s="81"/>
      <c r="G219" s="81"/>
      <c r="H219" s="82"/>
      <c r="K219" s="49"/>
      <c r="L219" s="50"/>
      <c r="O219" s="51"/>
    </row>
    <row r="220">
      <c r="C220" s="80"/>
      <c r="F220" s="81"/>
      <c r="G220" s="81"/>
      <c r="H220" s="82"/>
      <c r="K220" s="49"/>
      <c r="L220" s="50"/>
      <c r="O220" s="51"/>
    </row>
    <row r="221">
      <c r="C221" s="80"/>
      <c r="F221" s="81"/>
      <c r="G221" s="81"/>
      <c r="H221" s="82"/>
      <c r="K221" s="49"/>
      <c r="L221" s="50"/>
      <c r="O221" s="51"/>
    </row>
    <row r="222">
      <c r="C222" s="80"/>
      <c r="F222" s="81"/>
      <c r="G222" s="81"/>
      <c r="H222" s="82"/>
      <c r="K222" s="49"/>
      <c r="L222" s="50"/>
      <c r="O222" s="51"/>
    </row>
    <row r="223">
      <c r="C223" s="80"/>
      <c r="F223" s="81"/>
      <c r="G223" s="81"/>
      <c r="H223" s="82"/>
      <c r="K223" s="49"/>
      <c r="L223" s="50"/>
      <c r="O223" s="51"/>
    </row>
    <row r="224">
      <c r="C224" s="80"/>
      <c r="F224" s="81"/>
      <c r="G224" s="81"/>
      <c r="H224" s="82"/>
      <c r="K224" s="49"/>
      <c r="L224" s="50"/>
      <c r="O224" s="51"/>
    </row>
    <row r="225">
      <c r="C225" s="80"/>
      <c r="F225" s="81"/>
      <c r="G225" s="81"/>
      <c r="H225" s="82"/>
      <c r="K225" s="49"/>
      <c r="L225" s="50"/>
      <c r="O225" s="51"/>
    </row>
    <row r="226">
      <c r="C226" s="80"/>
      <c r="F226" s="81"/>
      <c r="G226" s="81"/>
      <c r="H226" s="82"/>
      <c r="K226" s="49"/>
      <c r="L226" s="50"/>
      <c r="O226" s="51"/>
    </row>
    <row r="227">
      <c r="C227" s="80"/>
      <c r="F227" s="81"/>
      <c r="G227" s="81"/>
      <c r="H227" s="82"/>
      <c r="K227" s="49"/>
      <c r="L227" s="50"/>
      <c r="O227" s="51"/>
    </row>
    <row r="228">
      <c r="C228" s="80"/>
      <c r="F228" s="81"/>
      <c r="G228" s="81"/>
      <c r="H228" s="82"/>
      <c r="K228" s="49"/>
      <c r="L228" s="50"/>
      <c r="O228" s="51"/>
    </row>
    <row r="229">
      <c r="C229" s="80"/>
      <c r="F229" s="81"/>
      <c r="G229" s="81"/>
      <c r="H229" s="82"/>
      <c r="K229" s="49"/>
      <c r="L229" s="50"/>
      <c r="O229" s="51"/>
    </row>
    <row r="230">
      <c r="C230" s="80"/>
      <c r="F230" s="81"/>
      <c r="G230" s="81"/>
      <c r="H230" s="82"/>
      <c r="K230" s="49"/>
      <c r="L230" s="50"/>
      <c r="O230" s="51"/>
    </row>
    <row r="231">
      <c r="C231" s="80"/>
      <c r="F231" s="81"/>
      <c r="G231" s="81"/>
      <c r="H231" s="82"/>
      <c r="K231" s="49"/>
      <c r="L231" s="50"/>
      <c r="O231" s="51"/>
    </row>
    <row r="232">
      <c r="C232" s="80"/>
      <c r="F232" s="81"/>
      <c r="G232" s="81"/>
      <c r="H232" s="82"/>
      <c r="K232" s="49"/>
      <c r="L232" s="50"/>
      <c r="O232" s="51"/>
    </row>
    <row r="233">
      <c r="C233" s="80"/>
      <c r="F233" s="81"/>
      <c r="G233" s="81"/>
      <c r="H233" s="82"/>
      <c r="K233" s="49"/>
      <c r="L233" s="50"/>
      <c r="O233" s="51"/>
    </row>
    <row r="234">
      <c r="C234" s="80"/>
      <c r="F234" s="81"/>
      <c r="G234" s="81"/>
      <c r="H234" s="82"/>
      <c r="K234" s="49"/>
      <c r="L234" s="50"/>
      <c r="O234" s="51"/>
    </row>
    <row r="235">
      <c r="C235" s="80"/>
      <c r="F235" s="81"/>
      <c r="G235" s="81"/>
      <c r="H235" s="82"/>
      <c r="K235" s="49"/>
      <c r="L235" s="50"/>
      <c r="O235" s="51"/>
    </row>
    <row r="236">
      <c r="C236" s="80"/>
      <c r="F236" s="81"/>
      <c r="G236" s="81"/>
      <c r="H236" s="82"/>
      <c r="K236" s="49"/>
      <c r="L236" s="50"/>
      <c r="O236" s="51"/>
    </row>
    <row r="237">
      <c r="C237" s="80"/>
      <c r="F237" s="81"/>
      <c r="G237" s="81"/>
      <c r="H237" s="82"/>
      <c r="K237" s="49"/>
      <c r="L237" s="50"/>
      <c r="O237" s="51"/>
    </row>
    <row r="238">
      <c r="C238" s="80"/>
      <c r="F238" s="81"/>
      <c r="G238" s="81"/>
      <c r="H238" s="82"/>
      <c r="K238" s="49"/>
      <c r="L238" s="50"/>
      <c r="O238" s="51"/>
    </row>
    <row r="239">
      <c r="C239" s="80"/>
      <c r="F239" s="81"/>
      <c r="G239" s="81"/>
      <c r="H239" s="82"/>
      <c r="K239" s="49"/>
      <c r="L239" s="50"/>
      <c r="O239" s="51"/>
    </row>
    <row r="240">
      <c r="C240" s="80"/>
      <c r="F240" s="81"/>
      <c r="G240" s="81"/>
      <c r="H240" s="82"/>
      <c r="K240" s="49"/>
      <c r="L240" s="50"/>
      <c r="O240" s="51"/>
    </row>
    <row r="241">
      <c r="C241" s="80"/>
      <c r="F241" s="81"/>
      <c r="G241" s="81"/>
      <c r="H241" s="82"/>
      <c r="K241" s="49"/>
      <c r="L241" s="50"/>
      <c r="O241" s="51"/>
    </row>
    <row r="242">
      <c r="C242" s="80"/>
      <c r="F242" s="81"/>
      <c r="G242" s="81"/>
      <c r="H242" s="82"/>
      <c r="K242" s="49"/>
      <c r="L242" s="50"/>
      <c r="O242" s="51"/>
    </row>
    <row r="243">
      <c r="C243" s="80"/>
      <c r="F243" s="81"/>
      <c r="G243" s="81"/>
      <c r="H243" s="82"/>
      <c r="K243" s="49"/>
      <c r="L243" s="50"/>
      <c r="O243" s="51"/>
    </row>
    <row r="244">
      <c r="C244" s="80"/>
      <c r="F244" s="81"/>
      <c r="G244" s="81"/>
      <c r="H244" s="82"/>
      <c r="K244" s="49"/>
      <c r="L244" s="50"/>
      <c r="O244" s="51"/>
    </row>
    <row r="245">
      <c r="C245" s="80"/>
      <c r="F245" s="81"/>
      <c r="G245" s="81"/>
      <c r="H245" s="82"/>
      <c r="K245" s="49"/>
      <c r="L245" s="50"/>
      <c r="O245" s="51"/>
    </row>
    <row r="246">
      <c r="C246" s="80"/>
      <c r="F246" s="81"/>
      <c r="G246" s="81"/>
      <c r="H246" s="82"/>
      <c r="K246" s="49"/>
      <c r="L246" s="50"/>
      <c r="O246" s="51"/>
    </row>
    <row r="247">
      <c r="C247" s="80"/>
      <c r="F247" s="81"/>
      <c r="G247" s="81"/>
      <c r="H247" s="82"/>
      <c r="K247" s="49"/>
      <c r="L247" s="50"/>
      <c r="O247" s="51"/>
    </row>
    <row r="248">
      <c r="C248" s="80"/>
      <c r="F248" s="81"/>
      <c r="G248" s="81"/>
      <c r="H248" s="82"/>
      <c r="K248" s="49"/>
      <c r="L248" s="50"/>
      <c r="O248" s="51"/>
    </row>
    <row r="249">
      <c r="C249" s="80"/>
      <c r="F249" s="81"/>
      <c r="G249" s="81"/>
      <c r="H249" s="82"/>
      <c r="K249" s="49"/>
      <c r="L249" s="50"/>
      <c r="O249" s="51"/>
    </row>
    <row r="250">
      <c r="C250" s="80"/>
      <c r="F250" s="81"/>
      <c r="G250" s="81"/>
      <c r="H250" s="82"/>
      <c r="K250" s="49"/>
      <c r="L250" s="50"/>
      <c r="O250" s="51"/>
    </row>
    <row r="251">
      <c r="C251" s="80"/>
      <c r="F251" s="81"/>
      <c r="G251" s="81"/>
      <c r="H251" s="82"/>
      <c r="K251" s="49"/>
      <c r="L251" s="50"/>
      <c r="O251" s="51"/>
    </row>
    <row r="252">
      <c r="C252" s="80"/>
      <c r="F252" s="81"/>
      <c r="G252" s="81"/>
      <c r="H252" s="82"/>
      <c r="K252" s="49"/>
      <c r="L252" s="50"/>
      <c r="O252" s="51"/>
    </row>
    <row r="253">
      <c r="C253" s="80"/>
      <c r="F253" s="81"/>
      <c r="G253" s="81"/>
      <c r="H253" s="82"/>
      <c r="K253" s="49"/>
      <c r="L253" s="50"/>
      <c r="O253" s="51"/>
    </row>
    <row r="254">
      <c r="C254" s="80"/>
      <c r="F254" s="81"/>
      <c r="G254" s="81"/>
      <c r="H254" s="82"/>
      <c r="K254" s="49"/>
      <c r="L254" s="50"/>
      <c r="O254" s="51"/>
    </row>
    <row r="255">
      <c r="C255" s="80"/>
      <c r="F255" s="81"/>
      <c r="G255" s="81"/>
      <c r="H255" s="82"/>
      <c r="K255" s="49"/>
      <c r="L255" s="50"/>
      <c r="O255" s="51"/>
    </row>
    <row r="256">
      <c r="C256" s="80"/>
      <c r="F256" s="81"/>
      <c r="G256" s="81"/>
      <c r="H256" s="82"/>
      <c r="K256" s="49"/>
      <c r="L256" s="50"/>
      <c r="O256" s="51"/>
    </row>
    <row r="257">
      <c r="C257" s="80"/>
      <c r="F257" s="81"/>
      <c r="G257" s="81"/>
      <c r="H257" s="82"/>
      <c r="K257" s="49"/>
      <c r="L257" s="50"/>
      <c r="O257" s="51"/>
    </row>
    <row r="258">
      <c r="C258" s="80"/>
      <c r="F258" s="81"/>
      <c r="G258" s="81"/>
      <c r="H258" s="82"/>
      <c r="K258" s="49"/>
      <c r="L258" s="50"/>
      <c r="O258" s="51"/>
    </row>
    <row r="259">
      <c r="C259" s="80"/>
      <c r="F259" s="81"/>
      <c r="G259" s="81"/>
      <c r="H259" s="82"/>
      <c r="K259" s="49"/>
      <c r="L259" s="50"/>
      <c r="O259" s="51"/>
    </row>
    <row r="260">
      <c r="C260" s="80"/>
      <c r="F260" s="81"/>
      <c r="G260" s="81"/>
      <c r="H260" s="82"/>
      <c r="K260" s="49"/>
      <c r="L260" s="50"/>
      <c r="O260" s="51"/>
    </row>
    <row r="261">
      <c r="C261" s="80"/>
      <c r="F261" s="81"/>
      <c r="G261" s="81"/>
      <c r="H261" s="82"/>
      <c r="K261" s="49"/>
      <c r="L261" s="50"/>
      <c r="O261" s="51"/>
    </row>
    <row r="262">
      <c r="C262" s="80"/>
      <c r="F262" s="81"/>
      <c r="G262" s="81"/>
      <c r="H262" s="82"/>
      <c r="K262" s="49"/>
      <c r="L262" s="50"/>
      <c r="O262" s="51"/>
    </row>
    <row r="263">
      <c r="C263" s="80"/>
      <c r="F263" s="81"/>
      <c r="G263" s="81"/>
      <c r="H263" s="82"/>
      <c r="K263" s="49"/>
      <c r="L263" s="50"/>
      <c r="O263" s="51"/>
    </row>
    <row r="264">
      <c r="C264" s="80"/>
      <c r="F264" s="81"/>
      <c r="G264" s="81"/>
      <c r="H264" s="82"/>
      <c r="K264" s="49"/>
      <c r="L264" s="50"/>
      <c r="O264" s="51"/>
    </row>
    <row r="265">
      <c r="C265" s="80"/>
      <c r="F265" s="81"/>
      <c r="G265" s="81"/>
      <c r="H265" s="82"/>
      <c r="K265" s="49"/>
      <c r="L265" s="50"/>
      <c r="O265" s="51"/>
    </row>
    <row r="266">
      <c r="C266" s="80"/>
      <c r="F266" s="81"/>
      <c r="G266" s="81"/>
      <c r="H266" s="82"/>
      <c r="K266" s="49"/>
      <c r="L266" s="50"/>
      <c r="O266" s="51"/>
    </row>
    <row r="267">
      <c r="C267" s="80"/>
      <c r="F267" s="81"/>
      <c r="G267" s="81"/>
      <c r="H267" s="82"/>
      <c r="K267" s="49"/>
      <c r="L267" s="50"/>
      <c r="O267" s="51"/>
    </row>
    <row r="268">
      <c r="C268" s="80"/>
      <c r="F268" s="81"/>
      <c r="G268" s="81"/>
      <c r="H268" s="82"/>
      <c r="K268" s="49"/>
      <c r="L268" s="50"/>
      <c r="O268" s="51"/>
    </row>
    <row r="269">
      <c r="C269" s="80"/>
      <c r="F269" s="81"/>
      <c r="G269" s="81"/>
      <c r="H269" s="82"/>
      <c r="K269" s="49"/>
      <c r="L269" s="50"/>
      <c r="O269" s="51"/>
    </row>
    <row r="270">
      <c r="C270" s="80"/>
      <c r="F270" s="81"/>
      <c r="G270" s="81"/>
      <c r="H270" s="82"/>
      <c r="K270" s="49"/>
      <c r="L270" s="50"/>
      <c r="O270" s="51"/>
    </row>
    <row r="271">
      <c r="C271" s="80"/>
      <c r="F271" s="81"/>
      <c r="G271" s="81"/>
      <c r="H271" s="82"/>
      <c r="K271" s="49"/>
      <c r="L271" s="50"/>
      <c r="O271" s="51"/>
    </row>
    <row r="272">
      <c r="C272" s="80"/>
      <c r="F272" s="81"/>
      <c r="G272" s="81"/>
      <c r="H272" s="82"/>
      <c r="K272" s="49"/>
      <c r="L272" s="50"/>
      <c r="O272" s="51"/>
    </row>
    <row r="273">
      <c r="C273" s="80"/>
      <c r="F273" s="81"/>
      <c r="G273" s="81"/>
      <c r="H273" s="82"/>
      <c r="K273" s="49"/>
      <c r="L273" s="50"/>
      <c r="O273" s="51"/>
    </row>
    <row r="274">
      <c r="C274" s="80"/>
      <c r="F274" s="81"/>
      <c r="G274" s="81"/>
      <c r="H274" s="82"/>
      <c r="K274" s="49"/>
      <c r="L274" s="50"/>
      <c r="O274" s="51"/>
    </row>
    <row r="275">
      <c r="C275" s="80"/>
      <c r="F275" s="81"/>
      <c r="G275" s="81"/>
      <c r="H275" s="82"/>
      <c r="K275" s="49"/>
      <c r="L275" s="50"/>
      <c r="O275" s="51"/>
    </row>
    <row r="276">
      <c r="C276" s="80"/>
      <c r="F276" s="81"/>
      <c r="G276" s="81"/>
      <c r="H276" s="82"/>
      <c r="K276" s="49"/>
      <c r="L276" s="50"/>
      <c r="O276" s="51"/>
    </row>
    <row r="277">
      <c r="C277" s="80"/>
      <c r="F277" s="81"/>
      <c r="G277" s="81"/>
      <c r="H277" s="82"/>
      <c r="K277" s="49"/>
      <c r="L277" s="50"/>
      <c r="O277" s="51"/>
    </row>
    <row r="278">
      <c r="C278" s="80"/>
      <c r="F278" s="81"/>
      <c r="G278" s="81"/>
      <c r="H278" s="82"/>
      <c r="K278" s="49"/>
      <c r="L278" s="50"/>
      <c r="O278" s="51"/>
    </row>
    <row r="279">
      <c r="C279" s="80"/>
      <c r="F279" s="81"/>
      <c r="G279" s="81"/>
      <c r="H279" s="82"/>
      <c r="K279" s="49"/>
      <c r="L279" s="50"/>
      <c r="O279" s="51"/>
    </row>
    <row r="280">
      <c r="C280" s="80"/>
      <c r="F280" s="81"/>
      <c r="G280" s="81"/>
      <c r="H280" s="82"/>
      <c r="K280" s="49"/>
      <c r="L280" s="50"/>
      <c r="O280" s="51"/>
    </row>
    <row r="281">
      <c r="C281" s="80"/>
      <c r="F281" s="81"/>
      <c r="G281" s="81"/>
      <c r="H281" s="82"/>
      <c r="K281" s="49"/>
      <c r="L281" s="50"/>
      <c r="O281" s="51"/>
    </row>
    <row r="282">
      <c r="C282" s="80"/>
      <c r="F282" s="81"/>
      <c r="G282" s="81"/>
      <c r="H282" s="82"/>
      <c r="K282" s="49"/>
      <c r="L282" s="50"/>
      <c r="O282" s="51"/>
    </row>
    <row r="283">
      <c r="C283" s="80"/>
      <c r="F283" s="81"/>
      <c r="G283" s="81"/>
      <c r="H283" s="82"/>
      <c r="K283" s="49"/>
      <c r="L283" s="50"/>
      <c r="O283" s="51"/>
    </row>
    <row r="284">
      <c r="C284" s="80"/>
      <c r="F284" s="81"/>
      <c r="G284" s="81"/>
      <c r="H284" s="82"/>
      <c r="K284" s="49"/>
      <c r="L284" s="50"/>
      <c r="O284" s="51"/>
    </row>
    <row r="285">
      <c r="C285" s="80"/>
      <c r="F285" s="81"/>
      <c r="G285" s="81"/>
      <c r="H285" s="82"/>
      <c r="K285" s="49"/>
      <c r="L285" s="50"/>
      <c r="O285" s="51"/>
    </row>
    <row r="286">
      <c r="C286" s="80"/>
      <c r="F286" s="81"/>
      <c r="G286" s="81"/>
      <c r="H286" s="82"/>
      <c r="K286" s="49"/>
      <c r="L286" s="50"/>
      <c r="O286" s="51"/>
    </row>
    <row r="287">
      <c r="C287" s="80"/>
      <c r="F287" s="81"/>
      <c r="G287" s="81"/>
      <c r="H287" s="82"/>
      <c r="K287" s="49"/>
      <c r="L287" s="50"/>
      <c r="O287" s="51"/>
    </row>
    <row r="288">
      <c r="C288" s="80"/>
      <c r="F288" s="81"/>
      <c r="G288" s="81"/>
      <c r="H288" s="82"/>
      <c r="K288" s="49"/>
      <c r="L288" s="50"/>
      <c r="O288" s="51"/>
    </row>
    <row r="289">
      <c r="C289" s="80"/>
      <c r="F289" s="81"/>
      <c r="G289" s="81"/>
      <c r="H289" s="82"/>
      <c r="K289" s="49"/>
      <c r="L289" s="50"/>
      <c r="O289" s="51"/>
    </row>
    <row r="290">
      <c r="C290" s="80"/>
      <c r="F290" s="81"/>
      <c r="G290" s="81"/>
      <c r="H290" s="82"/>
      <c r="K290" s="49"/>
      <c r="L290" s="50"/>
      <c r="O290" s="51"/>
    </row>
    <row r="291">
      <c r="C291" s="80"/>
      <c r="F291" s="81"/>
      <c r="G291" s="81"/>
      <c r="H291" s="82"/>
      <c r="K291" s="49"/>
      <c r="L291" s="50"/>
      <c r="O291" s="51"/>
    </row>
    <row r="292">
      <c r="C292" s="80"/>
      <c r="F292" s="81"/>
      <c r="G292" s="81"/>
      <c r="H292" s="82"/>
      <c r="K292" s="49"/>
      <c r="L292" s="50"/>
      <c r="O292" s="51"/>
    </row>
    <row r="293">
      <c r="C293" s="80"/>
      <c r="F293" s="81"/>
      <c r="G293" s="81"/>
      <c r="H293" s="82"/>
      <c r="K293" s="49"/>
      <c r="L293" s="50"/>
      <c r="O293" s="51"/>
    </row>
    <row r="294">
      <c r="C294" s="80"/>
      <c r="F294" s="81"/>
      <c r="G294" s="81"/>
      <c r="H294" s="82"/>
      <c r="K294" s="49"/>
      <c r="L294" s="50"/>
      <c r="O294" s="51"/>
    </row>
    <row r="295">
      <c r="C295" s="80"/>
      <c r="F295" s="81"/>
      <c r="G295" s="81"/>
      <c r="H295" s="82"/>
      <c r="K295" s="49"/>
      <c r="L295" s="50"/>
      <c r="O295" s="51"/>
    </row>
    <row r="296">
      <c r="C296" s="80"/>
      <c r="F296" s="81"/>
      <c r="G296" s="81"/>
      <c r="H296" s="82"/>
      <c r="K296" s="49"/>
      <c r="L296" s="50"/>
      <c r="O296" s="51"/>
    </row>
    <row r="297">
      <c r="C297" s="80"/>
      <c r="F297" s="81"/>
      <c r="G297" s="81"/>
      <c r="H297" s="82"/>
      <c r="K297" s="49"/>
      <c r="L297" s="50"/>
      <c r="O297" s="51"/>
    </row>
    <row r="298">
      <c r="C298" s="80"/>
      <c r="F298" s="81"/>
      <c r="G298" s="81"/>
      <c r="H298" s="82"/>
      <c r="K298" s="49"/>
      <c r="L298" s="50"/>
      <c r="O298" s="51"/>
    </row>
    <row r="299">
      <c r="C299" s="80"/>
      <c r="F299" s="81"/>
      <c r="G299" s="81"/>
      <c r="H299" s="82"/>
      <c r="K299" s="49"/>
      <c r="L299" s="50"/>
      <c r="O299" s="51"/>
    </row>
    <row r="300">
      <c r="C300" s="80"/>
      <c r="F300" s="81"/>
      <c r="G300" s="81"/>
      <c r="H300" s="82"/>
      <c r="K300" s="49"/>
      <c r="L300" s="50"/>
      <c r="O300" s="51"/>
    </row>
    <row r="301">
      <c r="C301" s="80"/>
      <c r="F301" s="81"/>
      <c r="G301" s="81"/>
      <c r="H301" s="82"/>
      <c r="K301" s="49"/>
      <c r="L301" s="50"/>
      <c r="O301" s="51"/>
    </row>
    <row r="302">
      <c r="C302" s="80"/>
      <c r="F302" s="81"/>
      <c r="G302" s="81"/>
      <c r="H302" s="82"/>
      <c r="K302" s="49"/>
      <c r="L302" s="50"/>
      <c r="O302" s="51"/>
    </row>
    <row r="303">
      <c r="C303" s="80"/>
      <c r="F303" s="81"/>
      <c r="G303" s="81"/>
      <c r="H303" s="82"/>
      <c r="K303" s="49"/>
      <c r="L303" s="50"/>
      <c r="O303" s="51"/>
    </row>
    <row r="304">
      <c r="C304" s="80"/>
      <c r="F304" s="81"/>
      <c r="G304" s="81"/>
      <c r="H304" s="82"/>
      <c r="K304" s="49"/>
      <c r="L304" s="50"/>
      <c r="O304" s="51"/>
    </row>
    <row r="305">
      <c r="C305" s="80"/>
      <c r="F305" s="81"/>
      <c r="G305" s="81"/>
      <c r="H305" s="82"/>
      <c r="K305" s="49"/>
      <c r="L305" s="50"/>
      <c r="O305" s="51"/>
    </row>
    <row r="306">
      <c r="C306" s="80"/>
      <c r="F306" s="81"/>
      <c r="G306" s="81"/>
      <c r="H306" s="82"/>
      <c r="K306" s="49"/>
      <c r="L306" s="50"/>
      <c r="O306" s="51"/>
    </row>
    <row r="307">
      <c r="C307" s="80"/>
      <c r="F307" s="81"/>
      <c r="G307" s="81"/>
      <c r="H307" s="82"/>
      <c r="K307" s="49"/>
      <c r="L307" s="50"/>
      <c r="O307" s="51"/>
    </row>
    <row r="308">
      <c r="C308" s="80"/>
      <c r="F308" s="81"/>
      <c r="G308" s="81"/>
      <c r="H308" s="82"/>
      <c r="K308" s="49"/>
      <c r="L308" s="50"/>
      <c r="O308" s="51"/>
    </row>
    <row r="309">
      <c r="C309" s="80"/>
      <c r="F309" s="81"/>
      <c r="G309" s="81"/>
      <c r="H309" s="82"/>
      <c r="K309" s="49"/>
      <c r="L309" s="50"/>
      <c r="O309" s="51"/>
    </row>
    <row r="310">
      <c r="C310" s="80"/>
      <c r="F310" s="81"/>
      <c r="G310" s="81"/>
      <c r="H310" s="82"/>
      <c r="K310" s="49"/>
      <c r="L310" s="50"/>
      <c r="O310" s="51"/>
    </row>
    <row r="311">
      <c r="C311" s="80"/>
      <c r="F311" s="81"/>
      <c r="G311" s="81"/>
      <c r="H311" s="82"/>
      <c r="K311" s="49"/>
      <c r="L311" s="50"/>
      <c r="O311" s="51"/>
    </row>
    <row r="312">
      <c r="C312" s="80"/>
      <c r="F312" s="81"/>
      <c r="G312" s="81"/>
      <c r="H312" s="82"/>
      <c r="K312" s="49"/>
      <c r="L312" s="50"/>
      <c r="O312" s="51"/>
    </row>
    <row r="313">
      <c r="C313" s="80"/>
      <c r="F313" s="81"/>
      <c r="G313" s="81"/>
      <c r="H313" s="82"/>
      <c r="K313" s="49"/>
      <c r="L313" s="50"/>
      <c r="O313" s="51"/>
    </row>
    <row r="314">
      <c r="C314" s="80"/>
      <c r="F314" s="81"/>
      <c r="G314" s="81"/>
      <c r="H314" s="82"/>
      <c r="K314" s="49"/>
      <c r="L314" s="50"/>
      <c r="O314" s="51"/>
    </row>
    <row r="315">
      <c r="C315" s="80"/>
      <c r="F315" s="81"/>
      <c r="G315" s="81"/>
      <c r="H315" s="82"/>
      <c r="K315" s="49"/>
      <c r="L315" s="50"/>
      <c r="O315" s="51"/>
    </row>
    <row r="316">
      <c r="C316" s="80"/>
      <c r="F316" s="81"/>
      <c r="G316" s="81"/>
      <c r="H316" s="82"/>
      <c r="K316" s="49"/>
      <c r="L316" s="50"/>
      <c r="O316" s="51"/>
    </row>
    <row r="317">
      <c r="C317" s="80"/>
      <c r="F317" s="81"/>
      <c r="G317" s="81"/>
      <c r="H317" s="82"/>
      <c r="K317" s="49"/>
      <c r="L317" s="50"/>
      <c r="O317" s="51"/>
    </row>
    <row r="318">
      <c r="C318" s="80"/>
      <c r="F318" s="81"/>
      <c r="G318" s="81"/>
      <c r="H318" s="82"/>
      <c r="K318" s="49"/>
      <c r="L318" s="50"/>
      <c r="O318" s="51"/>
    </row>
    <row r="319">
      <c r="C319" s="80"/>
      <c r="F319" s="81"/>
      <c r="G319" s="81"/>
      <c r="H319" s="82"/>
      <c r="K319" s="49"/>
      <c r="L319" s="50"/>
      <c r="O319" s="51"/>
    </row>
    <row r="320">
      <c r="C320" s="80"/>
      <c r="F320" s="81"/>
      <c r="G320" s="81"/>
      <c r="H320" s="82"/>
      <c r="K320" s="49"/>
      <c r="L320" s="50"/>
      <c r="O320" s="51"/>
    </row>
    <row r="321">
      <c r="C321" s="80"/>
      <c r="F321" s="81"/>
      <c r="G321" s="81"/>
      <c r="H321" s="82"/>
      <c r="K321" s="49"/>
      <c r="L321" s="50"/>
      <c r="O321" s="51"/>
    </row>
    <row r="322">
      <c r="C322" s="80"/>
      <c r="F322" s="81"/>
      <c r="G322" s="81"/>
      <c r="H322" s="82"/>
      <c r="K322" s="49"/>
      <c r="L322" s="50"/>
      <c r="O322" s="51"/>
    </row>
    <row r="323">
      <c r="C323" s="80"/>
      <c r="F323" s="81"/>
      <c r="G323" s="81"/>
      <c r="H323" s="82"/>
      <c r="K323" s="49"/>
      <c r="L323" s="50"/>
      <c r="O323" s="51"/>
    </row>
    <row r="324">
      <c r="C324" s="80"/>
      <c r="F324" s="81"/>
      <c r="G324" s="81"/>
      <c r="H324" s="82"/>
      <c r="K324" s="49"/>
      <c r="L324" s="50"/>
      <c r="O324" s="51"/>
    </row>
    <row r="325">
      <c r="C325" s="80"/>
      <c r="F325" s="81"/>
      <c r="G325" s="81"/>
      <c r="H325" s="82"/>
      <c r="K325" s="49"/>
      <c r="L325" s="50"/>
      <c r="O325" s="51"/>
    </row>
    <row r="326">
      <c r="C326" s="80"/>
      <c r="F326" s="81"/>
      <c r="G326" s="81"/>
      <c r="H326" s="82"/>
      <c r="K326" s="49"/>
      <c r="L326" s="50"/>
      <c r="O326" s="51"/>
    </row>
    <row r="327">
      <c r="C327" s="80"/>
      <c r="F327" s="81"/>
      <c r="G327" s="81"/>
      <c r="H327" s="82"/>
      <c r="K327" s="49"/>
      <c r="L327" s="50"/>
      <c r="O327" s="51"/>
    </row>
    <row r="328">
      <c r="C328" s="80"/>
      <c r="F328" s="81"/>
      <c r="G328" s="81"/>
      <c r="H328" s="82"/>
      <c r="K328" s="49"/>
      <c r="L328" s="50"/>
      <c r="O328" s="51"/>
    </row>
    <row r="329">
      <c r="C329" s="80"/>
      <c r="F329" s="81"/>
      <c r="G329" s="81"/>
      <c r="H329" s="82"/>
      <c r="K329" s="49"/>
      <c r="L329" s="50"/>
      <c r="O329" s="51"/>
    </row>
    <row r="330">
      <c r="C330" s="80"/>
      <c r="F330" s="81"/>
      <c r="G330" s="81"/>
      <c r="H330" s="82"/>
      <c r="K330" s="49"/>
      <c r="L330" s="50"/>
      <c r="O330" s="51"/>
    </row>
    <row r="331">
      <c r="C331" s="80"/>
      <c r="F331" s="81"/>
      <c r="G331" s="81"/>
      <c r="H331" s="82"/>
      <c r="K331" s="49"/>
      <c r="L331" s="50"/>
      <c r="O331" s="51"/>
    </row>
    <row r="332">
      <c r="C332" s="80"/>
      <c r="F332" s="81"/>
      <c r="G332" s="81"/>
      <c r="H332" s="82"/>
      <c r="K332" s="49"/>
      <c r="L332" s="50"/>
      <c r="O332" s="51"/>
    </row>
    <row r="333">
      <c r="C333" s="80"/>
      <c r="F333" s="81"/>
      <c r="G333" s="81"/>
      <c r="H333" s="82"/>
      <c r="K333" s="49"/>
      <c r="L333" s="50"/>
      <c r="O333" s="51"/>
    </row>
    <row r="334">
      <c r="C334" s="80"/>
      <c r="F334" s="81"/>
      <c r="G334" s="81"/>
      <c r="H334" s="82"/>
      <c r="K334" s="49"/>
      <c r="L334" s="50"/>
      <c r="O334" s="51"/>
    </row>
    <row r="335">
      <c r="C335" s="80"/>
      <c r="F335" s="81"/>
      <c r="G335" s="81"/>
      <c r="H335" s="82"/>
      <c r="K335" s="49"/>
      <c r="L335" s="50"/>
      <c r="O335" s="51"/>
    </row>
    <row r="336">
      <c r="C336" s="80"/>
      <c r="F336" s="81"/>
      <c r="G336" s="81"/>
      <c r="H336" s="82"/>
      <c r="K336" s="49"/>
      <c r="L336" s="50"/>
      <c r="O336" s="51"/>
    </row>
    <row r="337">
      <c r="C337" s="80"/>
      <c r="F337" s="81"/>
      <c r="G337" s="81"/>
      <c r="H337" s="82"/>
      <c r="K337" s="49"/>
      <c r="L337" s="50"/>
      <c r="O337" s="51"/>
    </row>
    <row r="338">
      <c r="C338" s="80"/>
      <c r="F338" s="81"/>
      <c r="G338" s="81"/>
      <c r="H338" s="82"/>
      <c r="K338" s="49"/>
      <c r="L338" s="50"/>
      <c r="O338" s="51"/>
    </row>
    <row r="339">
      <c r="C339" s="80"/>
      <c r="F339" s="81"/>
      <c r="G339" s="81"/>
      <c r="H339" s="82"/>
      <c r="K339" s="49"/>
      <c r="L339" s="50"/>
      <c r="O339" s="51"/>
    </row>
    <row r="340">
      <c r="C340" s="80"/>
      <c r="F340" s="81"/>
      <c r="G340" s="81"/>
      <c r="H340" s="82"/>
      <c r="K340" s="49"/>
      <c r="L340" s="50"/>
      <c r="O340" s="51"/>
    </row>
    <row r="341">
      <c r="C341" s="80"/>
      <c r="F341" s="81"/>
      <c r="G341" s="81"/>
      <c r="H341" s="82"/>
      <c r="K341" s="49"/>
      <c r="L341" s="50"/>
      <c r="O341" s="51"/>
    </row>
    <row r="342">
      <c r="C342" s="80"/>
      <c r="F342" s="81"/>
      <c r="G342" s="81"/>
      <c r="H342" s="82"/>
      <c r="K342" s="49"/>
      <c r="L342" s="50"/>
      <c r="O342" s="51"/>
    </row>
    <row r="343">
      <c r="C343" s="80"/>
      <c r="F343" s="81"/>
      <c r="G343" s="81"/>
      <c r="H343" s="82"/>
      <c r="K343" s="49"/>
      <c r="L343" s="50"/>
      <c r="O343" s="51"/>
    </row>
    <row r="344">
      <c r="C344" s="80"/>
      <c r="F344" s="81"/>
      <c r="G344" s="81"/>
      <c r="H344" s="82"/>
      <c r="K344" s="49"/>
      <c r="L344" s="50"/>
      <c r="O344" s="51"/>
    </row>
    <row r="345">
      <c r="C345" s="80"/>
      <c r="F345" s="81"/>
      <c r="G345" s="81"/>
      <c r="H345" s="82"/>
      <c r="K345" s="49"/>
      <c r="L345" s="50"/>
      <c r="O345" s="51"/>
    </row>
    <row r="346">
      <c r="C346" s="80"/>
      <c r="F346" s="81"/>
      <c r="G346" s="81"/>
      <c r="H346" s="82"/>
      <c r="K346" s="49"/>
      <c r="L346" s="50"/>
      <c r="O346" s="51"/>
    </row>
    <row r="347">
      <c r="C347" s="80"/>
      <c r="F347" s="81"/>
      <c r="G347" s="81"/>
      <c r="H347" s="82"/>
      <c r="K347" s="49"/>
      <c r="L347" s="50"/>
      <c r="O347" s="51"/>
    </row>
    <row r="348">
      <c r="C348" s="80"/>
      <c r="F348" s="81"/>
      <c r="G348" s="81"/>
      <c r="H348" s="82"/>
      <c r="K348" s="49"/>
      <c r="L348" s="50"/>
      <c r="O348" s="51"/>
    </row>
    <row r="349">
      <c r="C349" s="80"/>
      <c r="F349" s="81"/>
      <c r="G349" s="81"/>
      <c r="H349" s="82"/>
      <c r="K349" s="49"/>
      <c r="L349" s="50"/>
      <c r="O349" s="51"/>
    </row>
    <row r="350">
      <c r="C350" s="80"/>
      <c r="F350" s="81"/>
      <c r="G350" s="81"/>
      <c r="H350" s="82"/>
      <c r="K350" s="49"/>
      <c r="L350" s="50"/>
      <c r="O350" s="51"/>
    </row>
    <row r="351">
      <c r="C351" s="80"/>
      <c r="F351" s="81"/>
      <c r="G351" s="81"/>
      <c r="H351" s="82"/>
      <c r="K351" s="49"/>
      <c r="L351" s="50"/>
      <c r="O351" s="51"/>
    </row>
    <row r="352">
      <c r="C352" s="80"/>
      <c r="F352" s="81"/>
      <c r="G352" s="81"/>
      <c r="H352" s="82"/>
      <c r="K352" s="49"/>
      <c r="L352" s="50"/>
      <c r="O352" s="51"/>
    </row>
    <row r="353">
      <c r="C353" s="80"/>
      <c r="F353" s="81"/>
      <c r="G353" s="81"/>
      <c r="H353" s="82"/>
      <c r="K353" s="49"/>
      <c r="L353" s="50"/>
      <c r="O353" s="51"/>
    </row>
    <row r="354">
      <c r="C354" s="80"/>
      <c r="F354" s="81"/>
      <c r="G354" s="81"/>
      <c r="H354" s="82"/>
      <c r="K354" s="49"/>
      <c r="L354" s="50"/>
      <c r="O354" s="51"/>
    </row>
    <row r="355">
      <c r="C355" s="80"/>
      <c r="F355" s="81"/>
      <c r="G355" s="81"/>
      <c r="H355" s="82"/>
      <c r="K355" s="49"/>
      <c r="L355" s="50"/>
      <c r="O355" s="51"/>
    </row>
    <row r="356">
      <c r="C356" s="80"/>
      <c r="F356" s="81"/>
      <c r="G356" s="81"/>
      <c r="H356" s="82"/>
      <c r="K356" s="49"/>
      <c r="L356" s="50"/>
      <c r="O356" s="51"/>
    </row>
    <row r="357">
      <c r="C357" s="80"/>
      <c r="F357" s="81"/>
      <c r="G357" s="81"/>
      <c r="H357" s="82"/>
      <c r="K357" s="49"/>
      <c r="L357" s="50"/>
      <c r="O357" s="51"/>
    </row>
    <row r="358">
      <c r="C358" s="80"/>
      <c r="F358" s="81"/>
      <c r="G358" s="81"/>
      <c r="H358" s="82"/>
      <c r="K358" s="49"/>
      <c r="L358" s="50"/>
      <c r="O358" s="51"/>
    </row>
    <row r="359">
      <c r="C359" s="80"/>
      <c r="F359" s="81"/>
      <c r="G359" s="81"/>
      <c r="H359" s="82"/>
      <c r="K359" s="49"/>
      <c r="L359" s="50"/>
      <c r="O359" s="51"/>
    </row>
    <row r="360">
      <c r="C360" s="80"/>
      <c r="F360" s="81"/>
      <c r="G360" s="81"/>
      <c r="H360" s="82"/>
      <c r="K360" s="49"/>
      <c r="L360" s="50"/>
      <c r="O360" s="51"/>
    </row>
    <row r="361">
      <c r="C361" s="80"/>
      <c r="F361" s="81"/>
      <c r="G361" s="81"/>
      <c r="H361" s="82"/>
      <c r="K361" s="49"/>
      <c r="L361" s="50"/>
      <c r="O361" s="51"/>
    </row>
    <row r="362">
      <c r="C362" s="80"/>
      <c r="F362" s="81"/>
      <c r="G362" s="81"/>
      <c r="H362" s="82"/>
      <c r="K362" s="49"/>
      <c r="L362" s="50"/>
      <c r="O362" s="51"/>
    </row>
    <row r="363">
      <c r="C363" s="80"/>
      <c r="F363" s="81"/>
      <c r="G363" s="81"/>
      <c r="H363" s="82"/>
      <c r="K363" s="49"/>
      <c r="L363" s="50"/>
      <c r="O363" s="51"/>
    </row>
    <row r="364">
      <c r="C364" s="80"/>
      <c r="F364" s="81"/>
      <c r="G364" s="81"/>
      <c r="H364" s="82"/>
      <c r="K364" s="49"/>
      <c r="L364" s="50"/>
      <c r="O364" s="51"/>
    </row>
    <row r="365">
      <c r="C365" s="80"/>
      <c r="F365" s="81"/>
      <c r="G365" s="81"/>
      <c r="H365" s="82"/>
      <c r="K365" s="49"/>
      <c r="L365" s="50"/>
      <c r="O365" s="51"/>
    </row>
    <row r="366">
      <c r="C366" s="80"/>
      <c r="F366" s="81"/>
      <c r="G366" s="81"/>
      <c r="H366" s="82"/>
      <c r="K366" s="49"/>
      <c r="L366" s="50"/>
      <c r="O366" s="51"/>
    </row>
    <row r="367">
      <c r="C367" s="80"/>
      <c r="F367" s="81"/>
      <c r="G367" s="81"/>
      <c r="H367" s="82"/>
      <c r="K367" s="49"/>
      <c r="L367" s="50"/>
      <c r="O367" s="51"/>
    </row>
    <row r="368">
      <c r="C368" s="80"/>
      <c r="F368" s="81"/>
      <c r="G368" s="81"/>
      <c r="H368" s="82"/>
      <c r="K368" s="49"/>
      <c r="L368" s="50"/>
      <c r="O368" s="51"/>
    </row>
    <row r="369">
      <c r="C369" s="80"/>
      <c r="F369" s="81"/>
      <c r="G369" s="81"/>
      <c r="H369" s="82"/>
      <c r="K369" s="49"/>
      <c r="L369" s="50"/>
      <c r="O369" s="51"/>
    </row>
    <row r="370">
      <c r="C370" s="80"/>
      <c r="F370" s="81"/>
      <c r="G370" s="81"/>
      <c r="H370" s="82"/>
      <c r="K370" s="49"/>
      <c r="L370" s="50"/>
      <c r="O370" s="51"/>
    </row>
    <row r="371">
      <c r="C371" s="80"/>
      <c r="F371" s="81"/>
      <c r="G371" s="81"/>
      <c r="H371" s="82"/>
      <c r="K371" s="49"/>
      <c r="L371" s="50"/>
      <c r="O371" s="51"/>
    </row>
    <row r="372">
      <c r="C372" s="80"/>
      <c r="F372" s="81"/>
      <c r="G372" s="81"/>
      <c r="H372" s="82"/>
      <c r="K372" s="49"/>
      <c r="L372" s="50"/>
      <c r="O372" s="51"/>
    </row>
    <row r="373">
      <c r="C373" s="80"/>
      <c r="F373" s="81"/>
      <c r="G373" s="81"/>
      <c r="H373" s="82"/>
      <c r="K373" s="49"/>
      <c r="L373" s="50"/>
      <c r="O373" s="51"/>
    </row>
    <row r="374">
      <c r="C374" s="80"/>
      <c r="F374" s="81"/>
      <c r="G374" s="81"/>
      <c r="H374" s="82"/>
      <c r="K374" s="49"/>
      <c r="L374" s="50"/>
      <c r="O374" s="51"/>
    </row>
    <row r="375">
      <c r="C375" s="80"/>
      <c r="F375" s="81"/>
      <c r="G375" s="81"/>
      <c r="H375" s="82"/>
      <c r="K375" s="49"/>
      <c r="L375" s="50"/>
      <c r="O375" s="51"/>
    </row>
    <row r="376">
      <c r="C376" s="80"/>
      <c r="F376" s="81"/>
      <c r="G376" s="81"/>
      <c r="H376" s="82"/>
      <c r="K376" s="49"/>
      <c r="L376" s="50"/>
      <c r="O376" s="51"/>
    </row>
    <row r="377">
      <c r="C377" s="80"/>
      <c r="F377" s="81"/>
      <c r="G377" s="81"/>
      <c r="H377" s="82"/>
      <c r="K377" s="49"/>
      <c r="L377" s="50"/>
      <c r="O377" s="51"/>
    </row>
    <row r="378">
      <c r="C378" s="80"/>
      <c r="F378" s="81"/>
      <c r="G378" s="81"/>
      <c r="H378" s="82"/>
      <c r="K378" s="49"/>
      <c r="L378" s="50"/>
      <c r="O378" s="51"/>
    </row>
    <row r="379">
      <c r="C379" s="80"/>
      <c r="F379" s="81"/>
      <c r="G379" s="81"/>
      <c r="H379" s="82"/>
      <c r="K379" s="49"/>
      <c r="L379" s="50"/>
      <c r="O379" s="51"/>
    </row>
    <row r="380">
      <c r="C380" s="80"/>
      <c r="F380" s="81"/>
      <c r="G380" s="81"/>
      <c r="H380" s="82"/>
      <c r="K380" s="49"/>
      <c r="L380" s="50"/>
      <c r="O380" s="51"/>
    </row>
    <row r="381">
      <c r="C381" s="80"/>
      <c r="F381" s="81"/>
      <c r="G381" s="81"/>
      <c r="H381" s="82"/>
      <c r="K381" s="49"/>
      <c r="L381" s="50"/>
      <c r="O381" s="51"/>
    </row>
    <row r="382">
      <c r="C382" s="80"/>
      <c r="F382" s="81"/>
      <c r="G382" s="81"/>
      <c r="H382" s="82"/>
      <c r="K382" s="49"/>
      <c r="L382" s="50"/>
      <c r="O382" s="51"/>
    </row>
    <row r="383">
      <c r="C383" s="80"/>
      <c r="F383" s="81"/>
      <c r="G383" s="81"/>
      <c r="H383" s="82"/>
      <c r="K383" s="49"/>
      <c r="L383" s="50"/>
      <c r="O383" s="51"/>
    </row>
    <row r="384">
      <c r="C384" s="80"/>
      <c r="F384" s="81"/>
      <c r="G384" s="81"/>
      <c r="H384" s="82"/>
      <c r="K384" s="49"/>
      <c r="L384" s="50"/>
      <c r="O384" s="51"/>
    </row>
    <row r="385">
      <c r="C385" s="80"/>
      <c r="F385" s="81"/>
      <c r="G385" s="81"/>
      <c r="H385" s="82"/>
      <c r="K385" s="49"/>
      <c r="L385" s="50"/>
      <c r="O385" s="51"/>
    </row>
    <row r="386">
      <c r="C386" s="80"/>
      <c r="F386" s="81"/>
      <c r="G386" s="81"/>
      <c r="H386" s="82"/>
      <c r="K386" s="49"/>
      <c r="L386" s="50"/>
      <c r="O386" s="51"/>
    </row>
    <row r="387">
      <c r="C387" s="80"/>
      <c r="F387" s="81"/>
      <c r="G387" s="81"/>
      <c r="H387" s="82"/>
      <c r="K387" s="49"/>
      <c r="L387" s="50"/>
      <c r="O387" s="51"/>
    </row>
    <row r="388">
      <c r="C388" s="80"/>
      <c r="F388" s="81"/>
      <c r="G388" s="81"/>
      <c r="H388" s="82"/>
      <c r="K388" s="49"/>
      <c r="L388" s="50"/>
      <c r="O388" s="51"/>
    </row>
    <row r="389">
      <c r="C389" s="80"/>
      <c r="F389" s="81"/>
      <c r="G389" s="81"/>
      <c r="H389" s="82"/>
      <c r="K389" s="49"/>
      <c r="L389" s="50"/>
      <c r="O389" s="51"/>
    </row>
    <row r="390">
      <c r="C390" s="80"/>
      <c r="F390" s="81"/>
      <c r="G390" s="81"/>
      <c r="H390" s="82"/>
      <c r="K390" s="49"/>
      <c r="L390" s="50"/>
      <c r="O390" s="51"/>
    </row>
    <row r="391">
      <c r="C391" s="80"/>
      <c r="F391" s="81"/>
      <c r="G391" s="81"/>
      <c r="H391" s="82"/>
      <c r="K391" s="49"/>
      <c r="L391" s="50"/>
      <c r="O391" s="51"/>
    </row>
    <row r="392">
      <c r="C392" s="80"/>
      <c r="F392" s="81"/>
      <c r="G392" s="81"/>
      <c r="H392" s="82"/>
      <c r="K392" s="49"/>
      <c r="L392" s="50"/>
      <c r="O392" s="51"/>
    </row>
    <row r="393">
      <c r="C393" s="80"/>
      <c r="F393" s="81"/>
      <c r="G393" s="81"/>
      <c r="H393" s="82"/>
      <c r="K393" s="49"/>
      <c r="L393" s="50"/>
      <c r="O393" s="51"/>
    </row>
    <row r="394">
      <c r="C394" s="80"/>
      <c r="F394" s="81"/>
      <c r="G394" s="81"/>
      <c r="H394" s="82"/>
      <c r="K394" s="49"/>
      <c r="L394" s="50"/>
      <c r="O394" s="51"/>
    </row>
    <row r="395">
      <c r="C395" s="80"/>
      <c r="F395" s="81"/>
      <c r="G395" s="81"/>
      <c r="H395" s="82"/>
      <c r="K395" s="49"/>
      <c r="L395" s="50"/>
      <c r="O395" s="51"/>
    </row>
    <row r="396">
      <c r="C396" s="80"/>
      <c r="F396" s="81"/>
      <c r="G396" s="81"/>
      <c r="H396" s="82"/>
      <c r="K396" s="49"/>
      <c r="L396" s="50"/>
      <c r="O396" s="51"/>
    </row>
    <row r="397">
      <c r="C397" s="80"/>
      <c r="F397" s="81"/>
      <c r="G397" s="81"/>
      <c r="H397" s="82"/>
      <c r="K397" s="49"/>
      <c r="L397" s="50"/>
      <c r="O397" s="51"/>
    </row>
    <row r="398">
      <c r="C398" s="80"/>
      <c r="F398" s="81"/>
      <c r="G398" s="81"/>
      <c r="H398" s="82"/>
      <c r="K398" s="49"/>
      <c r="L398" s="50"/>
      <c r="O398" s="51"/>
    </row>
    <row r="399">
      <c r="C399" s="80"/>
      <c r="F399" s="81"/>
      <c r="G399" s="81"/>
      <c r="H399" s="82"/>
      <c r="K399" s="49"/>
      <c r="L399" s="50"/>
      <c r="O399" s="51"/>
    </row>
    <row r="400">
      <c r="C400" s="80"/>
      <c r="F400" s="81"/>
      <c r="G400" s="81"/>
      <c r="H400" s="82"/>
      <c r="K400" s="49"/>
      <c r="L400" s="50"/>
      <c r="O400" s="51"/>
    </row>
    <row r="401">
      <c r="C401" s="80"/>
      <c r="F401" s="81"/>
      <c r="G401" s="81"/>
      <c r="H401" s="82"/>
      <c r="K401" s="49"/>
      <c r="L401" s="50"/>
      <c r="O401" s="51"/>
    </row>
    <row r="402">
      <c r="C402" s="80"/>
      <c r="F402" s="81"/>
      <c r="G402" s="81"/>
      <c r="H402" s="82"/>
      <c r="K402" s="49"/>
      <c r="L402" s="50"/>
      <c r="O402" s="51"/>
    </row>
    <row r="403">
      <c r="C403" s="80"/>
      <c r="F403" s="81"/>
      <c r="G403" s="81"/>
      <c r="H403" s="82"/>
      <c r="K403" s="49"/>
      <c r="L403" s="50"/>
      <c r="O403" s="51"/>
    </row>
    <row r="404">
      <c r="C404" s="80"/>
      <c r="F404" s="81"/>
      <c r="G404" s="81"/>
      <c r="H404" s="82"/>
      <c r="K404" s="49"/>
      <c r="L404" s="50"/>
      <c r="O404" s="51"/>
    </row>
    <row r="405">
      <c r="C405" s="80"/>
      <c r="F405" s="81"/>
      <c r="G405" s="81"/>
      <c r="H405" s="82"/>
      <c r="K405" s="49"/>
      <c r="L405" s="50"/>
      <c r="O405" s="51"/>
    </row>
    <row r="406">
      <c r="C406" s="80"/>
      <c r="F406" s="81"/>
      <c r="G406" s="81"/>
      <c r="H406" s="82"/>
      <c r="K406" s="49"/>
      <c r="L406" s="50"/>
      <c r="O406" s="51"/>
    </row>
    <row r="407">
      <c r="C407" s="80"/>
      <c r="F407" s="81"/>
      <c r="G407" s="81"/>
      <c r="H407" s="82"/>
      <c r="K407" s="49"/>
      <c r="L407" s="50"/>
      <c r="O407" s="51"/>
    </row>
    <row r="408">
      <c r="C408" s="80"/>
      <c r="F408" s="81"/>
      <c r="G408" s="81"/>
      <c r="H408" s="82"/>
      <c r="K408" s="49"/>
      <c r="L408" s="50"/>
      <c r="O408" s="51"/>
    </row>
    <row r="409">
      <c r="C409" s="80"/>
      <c r="F409" s="81"/>
      <c r="G409" s="81"/>
      <c r="H409" s="82"/>
      <c r="K409" s="49"/>
      <c r="L409" s="50"/>
      <c r="O409" s="51"/>
    </row>
    <row r="410">
      <c r="C410" s="80"/>
      <c r="F410" s="81"/>
      <c r="G410" s="81"/>
      <c r="H410" s="82"/>
      <c r="K410" s="49"/>
      <c r="L410" s="50"/>
      <c r="O410" s="51"/>
    </row>
    <row r="411">
      <c r="C411" s="80"/>
      <c r="F411" s="81"/>
      <c r="G411" s="81"/>
      <c r="H411" s="82"/>
      <c r="K411" s="49"/>
      <c r="L411" s="50"/>
      <c r="O411" s="51"/>
    </row>
    <row r="412">
      <c r="C412" s="80"/>
      <c r="F412" s="81"/>
      <c r="G412" s="81"/>
      <c r="H412" s="82"/>
      <c r="K412" s="49"/>
      <c r="L412" s="50"/>
      <c r="O412" s="51"/>
    </row>
    <row r="413">
      <c r="C413" s="80"/>
      <c r="F413" s="81"/>
      <c r="G413" s="81"/>
      <c r="H413" s="82"/>
      <c r="K413" s="49"/>
      <c r="L413" s="50"/>
      <c r="O413" s="51"/>
    </row>
    <row r="414">
      <c r="C414" s="80"/>
      <c r="F414" s="81"/>
      <c r="G414" s="81"/>
      <c r="H414" s="82"/>
      <c r="K414" s="49"/>
      <c r="L414" s="50"/>
      <c r="O414" s="51"/>
    </row>
    <row r="415">
      <c r="C415" s="80"/>
      <c r="F415" s="81"/>
      <c r="G415" s="81"/>
      <c r="H415" s="82"/>
      <c r="K415" s="49"/>
      <c r="L415" s="50"/>
      <c r="O415" s="51"/>
    </row>
    <row r="416">
      <c r="C416" s="80"/>
      <c r="F416" s="81"/>
      <c r="G416" s="81"/>
      <c r="H416" s="82"/>
      <c r="K416" s="49"/>
      <c r="L416" s="50"/>
      <c r="O416" s="51"/>
    </row>
    <row r="417">
      <c r="C417" s="80"/>
      <c r="F417" s="81"/>
      <c r="G417" s="81"/>
      <c r="H417" s="82"/>
      <c r="K417" s="49"/>
      <c r="L417" s="50"/>
      <c r="O417" s="51"/>
    </row>
    <row r="418">
      <c r="C418" s="80"/>
      <c r="F418" s="81"/>
      <c r="G418" s="81"/>
      <c r="H418" s="82"/>
      <c r="K418" s="49"/>
      <c r="L418" s="50"/>
      <c r="O418" s="51"/>
    </row>
    <row r="419">
      <c r="C419" s="80"/>
      <c r="F419" s="81"/>
      <c r="G419" s="81"/>
      <c r="H419" s="82"/>
      <c r="K419" s="49"/>
      <c r="L419" s="50"/>
      <c r="O419" s="51"/>
    </row>
    <row r="420">
      <c r="C420" s="80"/>
      <c r="F420" s="81"/>
      <c r="G420" s="81"/>
      <c r="H420" s="82"/>
      <c r="K420" s="49"/>
      <c r="L420" s="50"/>
      <c r="O420" s="51"/>
    </row>
    <row r="421">
      <c r="C421" s="80"/>
      <c r="F421" s="81"/>
      <c r="G421" s="81"/>
      <c r="H421" s="82"/>
      <c r="K421" s="49"/>
      <c r="L421" s="50"/>
      <c r="O421" s="51"/>
    </row>
    <row r="422">
      <c r="C422" s="80"/>
      <c r="F422" s="81"/>
      <c r="G422" s="81"/>
      <c r="H422" s="82"/>
      <c r="K422" s="49"/>
      <c r="L422" s="50"/>
      <c r="O422" s="51"/>
    </row>
    <row r="423">
      <c r="C423" s="80"/>
      <c r="F423" s="81"/>
      <c r="G423" s="81"/>
      <c r="H423" s="82"/>
      <c r="K423" s="49"/>
      <c r="L423" s="50"/>
      <c r="O423" s="51"/>
    </row>
    <row r="424">
      <c r="C424" s="80"/>
      <c r="F424" s="81"/>
      <c r="G424" s="81"/>
      <c r="H424" s="82"/>
      <c r="K424" s="49"/>
      <c r="L424" s="50"/>
      <c r="O424" s="51"/>
    </row>
    <row r="425">
      <c r="C425" s="80"/>
      <c r="F425" s="81"/>
      <c r="G425" s="81"/>
      <c r="H425" s="82"/>
      <c r="K425" s="49"/>
      <c r="L425" s="50"/>
      <c r="O425" s="51"/>
    </row>
    <row r="426">
      <c r="C426" s="80"/>
      <c r="F426" s="81"/>
      <c r="G426" s="81"/>
      <c r="H426" s="82"/>
      <c r="K426" s="49"/>
      <c r="L426" s="50"/>
      <c r="O426" s="51"/>
    </row>
    <row r="427">
      <c r="C427" s="80"/>
      <c r="F427" s="81"/>
      <c r="G427" s="81"/>
      <c r="H427" s="82"/>
      <c r="K427" s="49"/>
      <c r="L427" s="50"/>
      <c r="O427" s="51"/>
    </row>
    <row r="428">
      <c r="C428" s="80"/>
      <c r="F428" s="81"/>
      <c r="G428" s="81"/>
      <c r="H428" s="82"/>
      <c r="K428" s="49"/>
      <c r="L428" s="50"/>
      <c r="O428" s="51"/>
    </row>
    <row r="429">
      <c r="C429" s="80"/>
      <c r="F429" s="81"/>
      <c r="G429" s="81"/>
      <c r="H429" s="82"/>
      <c r="K429" s="49"/>
      <c r="L429" s="50"/>
      <c r="O429" s="51"/>
    </row>
    <row r="430">
      <c r="C430" s="80"/>
      <c r="F430" s="81"/>
      <c r="G430" s="81"/>
      <c r="H430" s="82"/>
      <c r="K430" s="49"/>
      <c r="L430" s="50"/>
      <c r="O430" s="51"/>
    </row>
    <row r="431">
      <c r="C431" s="80"/>
      <c r="F431" s="81"/>
      <c r="G431" s="81"/>
      <c r="H431" s="82"/>
      <c r="K431" s="49"/>
      <c r="L431" s="50"/>
      <c r="O431" s="51"/>
    </row>
    <row r="432">
      <c r="C432" s="80"/>
      <c r="F432" s="81"/>
      <c r="G432" s="81"/>
      <c r="H432" s="82"/>
      <c r="K432" s="49"/>
      <c r="L432" s="50"/>
      <c r="O432" s="51"/>
    </row>
    <row r="433">
      <c r="C433" s="80"/>
      <c r="F433" s="81"/>
      <c r="G433" s="81"/>
      <c r="H433" s="82"/>
      <c r="K433" s="49"/>
      <c r="L433" s="50"/>
      <c r="O433" s="51"/>
    </row>
    <row r="434">
      <c r="C434" s="80"/>
      <c r="F434" s="81"/>
      <c r="G434" s="81"/>
      <c r="H434" s="82"/>
      <c r="K434" s="49"/>
      <c r="L434" s="50"/>
      <c r="O434" s="51"/>
    </row>
    <row r="435">
      <c r="C435" s="80"/>
      <c r="F435" s="81"/>
      <c r="G435" s="81"/>
      <c r="H435" s="82"/>
      <c r="K435" s="49"/>
      <c r="L435" s="50"/>
      <c r="O435" s="51"/>
    </row>
    <row r="436">
      <c r="C436" s="80"/>
      <c r="F436" s="81"/>
      <c r="G436" s="81"/>
      <c r="H436" s="82"/>
      <c r="K436" s="49"/>
      <c r="L436" s="50"/>
      <c r="O436" s="51"/>
    </row>
    <row r="437">
      <c r="C437" s="80"/>
      <c r="F437" s="81"/>
      <c r="G437" s="81"/>
      <c r="H437" s="82"/>
      <c r="K437" s="49"/>
      <c r="L437" s="50"/>
      <c r="O437" s="51"/>
    </row>
    <row r="438">
      <c r="C438" s="80"/>
      <c r="F438" s="81"/>
      <c r="G438" s="81"/>
      <c r="H438" s="82"/>
      <c r="K438" s="49"/>
      <c r="L438" s="50"/>
      <c r="O438" s="51"/>
    </row>
    <row r="439">
      <c r="C439" s="80"/>
      <c r="F439" s="81"/>
      <c r="G439" s="81"/>
      <c r="H439" s="82"/>
      <c r="K439" s="49"/>
      <c r="L439" s="50"/>
      <c r="O439" s="51"/>
    </row>
    <row r="440">
      <c r="C440" s="80"/>
      <c r="F440" s="81"/>
      <c r="G440" s="81"/>
      <c r="H440" s="82"/>
      <c r="K440" s="49"/>
      <c r="L440" s="50"/>
      <c r="O440" s="51"/>
    </row>
    <row r="441">
      <c r="C441" s="80"/>
      <c r="F441" s="81"/>
      <c r="G441" s="81"/>
      <c r="H441" s="82"/>
      <c r="K441" s="49"/>
      <c r="L441" s="50"/>
      <c r="O441" s="51"/>
    </row>
    <row r="442">
      <c r="C442" s="80"/>
      <c r="F442" s="81"/>
      <c r="G442" s="81"/>
      <c r="H442" s="82"/>
      <c r="K442" s="49"/>
      <c r="L442" s="50"/>
      <c r="O442" s="51"/>
    </row>
    <row r="443">
      <c r="C443" s="80"/>
      <c r="F443" s="81"/>
      <c r="G443" s="81"/>
      <c r="H443" s="82"/>
      <c r="K443" s="49"/>
      <c r="L443" s="50"/>
      <c r="O443" s="51"/>
    </row>
    <row r="444">
      <c r="C444" s="80"/>
      <c r="F444" s="81"/>
      <c r="G444" s="81"/>
      <c r="H444" s="82"/>
      <c r="K444" s="49"/>
      <c r="L444" s="50"/>
      <c r="O444" s="51"/>
    </row>
    <row r="445">
      <c r="C445" s="80"/>
      <c r="F445" s="81"/>
      <c r="G445" s="81"/>
      <c r="H445" s="82"/>
      <c r="K445" s="49"/>
      <c r="L445" s="50"/>
      <c r="O445" s="51"/>
    </row>
    <row r="446">
      <c r="C446" s="80"/>
      <c r="F446" s="81"/>
      <c r="G446" s="81"/>
      <c r="H446" s="82"/>
      <c r="K446" s="49"/>
      <c r="L446" s="50"/>
      <c r="O446" s="51"/>
    </row>
    <row r="447">
      <c r="C447" s="80"/>
      <c r="F447" s="81"/>
      <c r="G447" s="81"/>
      <c r="H447" s="82"/>
      <c r="K447" s="49"/>
      <c r="L447" s="50"/>
      <c r="O447" s="51"/>
    </row>
    <row r="448">
      <c r="C448" s="80"/>
      <c r="F448" s="81"/>
      <c r="G448" s="81"/>
      <c r="H448" s="82"/>
      <c r="K448" s="49"/>
      <c r="L448" s="50"/>
      <c r="O448" s="51"/>
    </row>
    <row r="449">
      <c r="C449" s="80"/>
      <c r="F449" s="81"/>
      <c r="G449" s="81"/>
      <c r="H449" s="82"/>
      <c r="K449" s="49"/>
      <c r="L449" s="50"/>
      <c r="O449" s="51"/>
    </row>
    <row r="450">
      <c r="C450" s="80"/>
      <c r="F450" s="81"/>
      <c r="G450" s="81"/>
      <c r="H450" s="82"/>
      <c r="K450" s="49"/>
      <c r="L450" s="50"/>
      <c r="O450" s="51"/>
    </row>
    <row r="451">
      <c r="C451" s="80"/>
      <c r="F451" s="81"/>
      <c r="G451" s="81"/>
      <c r="H451" s="82"/>
      <c r="K451" s="49"/>
      <c r="L451" s="50"/>
      <c r="O451" s="51"/>
    </row>
    <row r="452">
      <c r="C452" s="80"/>
      <c r="F452" s="81"/>
      <c r="G452" s="81"/>
      <c r="H452" s="82"/>
      <c r="K452" s="49"/>
      <c r="L452" s="50"/>
      <c r="O452" s="51"/>
    </row>
    <row r="453">
      <c r="C453" s="80"/>
      <c r="F453" s="81"/>
      <c r="G453" s="81"/>
      <c r="H453" s="82"/>
      <c r="K453" s="49"/>
      <c r="L453" s="50"/>
      <c r="O453" s="51"/>
    </row>
    <row r="454">
      <c r="C454" s="80"/>
      <c r="F454" s="81"/>
      <c r="G454" s="81"/>
      <c r="H454" s="82"/>
      <c r="K454" s="49"/>
      <c r="L454" s="50"/>
      <c r="O454" s="51"/>
    </row>
    <row r="455">
      <c r="C455" s="80"/>
      <c r="F455" s="81"/>
      <c r="G455" s="81"/>
      <c r="H455" s="82"/>
      <c r="K455" s="49"/>
      <c r="L455" s="50"/>
      <c r="O455" s="51"/>
    </row>
    <row r="456">
      <c r="C456" s="80"/>
      <c r="F456" s="81"/>
      <c r="G456" s="81"/>
      <c r="H456" s="82"/>
      <c r="K456" s="49"/>
      <c r="L456" s="50"/>
      <c r="O456" s="51"/>
    </row>
    <row r="457">
      <c r="C457" s="80"/>
      <c r="F457" s="81"/>
      <c r="G457" s="81"/>
      <c r="H457" s="82"/>
      <c r="K457" s="49"/>
      <c r="L457" s="50"/>
      <c r="O457" s="51"/>
    </row>
    <row r="458">
      <c r="C458" s="80"/>
      <c r="F458" s="81"/>
      <c r="G458" s="81"/>
      <c r="H458" s="82"/>
      <c r="K458" s="49"/>
      <c r="L458" s="50"/>
      <c r="O458" s="51"/>
    </row>
    <row r="459">
      <c r="C459" s="80"/>
      <c r="F459" s="81"/>
      <c r="G459" s="81"/>
      <c r="H459" s="82"/>
      <c r="K459" s="49"/>
      <c r="L459" s="50"/>
      <c r="O459" s="51"/>
    </row>
    <row r="460">
      <c r="C460" s="80"/>
      <c r="F460" s="81"/>
      <c r="G460" s="81"/>
      <c r="H460" s="82"/>
      <c r="K460" s="49"/>
      <c r="L460" s="50"/>
      <c r="O460" s="51"/>
    </row>
    <row r="461">
      <c r="C461" s="80"/>
      <c r="F461" s="81"/>
      <c r="G461" s="81"/>
      <c r="H461" s="82"/>
      <c r="K461" s="49"/>
      <c r="L461" s="50"/>
      <c r="O461" s="51"/>
    </row>
    <row r="462">
      <c r="C462" s="80"/>
      <c r="F462" s="81"/>
      <c r="G462" s="81"/>
      <c r="H462" s="82"/>
      <c r="K462" s="49"/>
      <c r="L462" s="50"/>
      <c r="O462" s="51"/>
    </row>
    <row r="463">
      <c r="C463" s="80"/>
      <c r="F463" s="81"/>
      <c r="G463" s="81"/>
      <c r="H463" s="82"/>
      <c r="K463" s="49"/>
      <c r="L463" s="50"/>
      <c r="O463" s="51"/>
    </row>
    <row r="464">
      <c r="C464" s="80"/>
      <c r="F464" s="81"/>
      <c r="G464" s="81"/>
      <c r="H464" s="82"/>
      <c r="K464" s="49"/>
      <c r="L464" s="50"/>
      <c r="O464" s="51"/>
    </row>
    <row r="465">
      <c r="C465" s="80"/>
      <c r="F465" s="81"/>
      <c r="G465" s="81"/>
      <c r="H465" s="82"/>
      <c r="K465" s="49"/>
      <c r="L465" s="50"/>
      <c r="O465" s="51"/>
    </row>
    <row r="466">
      <c r="C466" s="80"/>
      <c r="F466" s="81"/>
      <c r="G466" s="81"/>
      <c r="H466" s="82"/>
      <c r="K466" s="49"/>
      <c r="L466" s="50"/>
      <c r="O466" s="51"/>
    </row>
    <row r="467">
      <c r="C467" s="80"/>
      <c r="F467" s="81"/>
      <c r="G467" s="81"/>
      <c r="H467" s="82"/>
      <c r="K467" s="49"/>
      <c r="L467" s="50"/>
      <c r="O467" s="51"/>
    </row>
    <row r="468">
      <c r="C468" s="80"/>
      <c r="F468" s="81"/>
      <c r="G468" s="81"/>
      <c r="H468" s="82"/>
      <c r="K468" s="49"/>
      <c r="L468" s="50"/>
      <c r="O468" s="51"/>
    </row>
    <row r="469">
      <c r="C469" s="80"/>
      <c r="F469" s="81"/>
      <c r="G469" s="81"/>
      <c r="H469" s="82"/>
      <c r="K469" s="49"/>
      <c r="L469" s="50"/>
      <c r="O469" s="51"/>
    </row>
    <row r="470">
      <c r="C470" s="80"/>
      <c r="F470" s="81"/>
      <c r="G470" s="81"/>
      <c r="H470" s="82"/>
      <c r="K470" s="49"/>
      <c r="L470" s="50"/>
      <c r="O470" s="51"/>
    </row>
    <row r="471">
      <c r="C471" s="80"/>
      <c r="F471" s="81"/>
      <c r="G471" s="81"/>
      <c r="H471" s="82"/>
      <c r="K471" s="49"/>
      <c r="L471" s="50"/>
      <c r="O471" s="51"/>
    </row>
    <row r="472">
      <c r="C472" s="80"/>
      <c r="F472" s="81"/>
      <c r="G472" s="81"/>
      <c r="H472" s="82"/>
      <c r="K472" s="49"/>
      <c r="L472" s="50"/>
      <c r="O472" s="51"/>
    </row>
    <row r="473">
      <c r="C473" s="80"/>
      <c r="F473" s="81"/>
      <c r="G473" s="81"/>
      <c r="H473" s="82"/>
      <c r="K473" s="49"/>
      <c r="L473" s="50"/>
      <c r="O473" s="51"/>
    </row>
    <row r="474">
      <c r="C474" s="80"/>
      <c r="F474" s="81"/>
      <c r="G474" s="81"/>
      <c r="H474" s="82"/>
      <c r="K474" s="49"/>
      <c r="L474" s="50"/>
      <c r="O474" s="51"/>
    </row>
    <row r="475">
      <c r="C475" s="80"/>
      <c r="F475" s="81"/>
      <c r="G475" s="81"/>
      <c r="H475" s="82"/>
      <c r="K475" s="49"/>
      <c r="L475" s="50"/>
      <c r="O475" s="51"/>
    </row>
    <row r="476">
      <c r="C476" s="80"/>
      <c r="F476" s="81"/>
      <c r="G476" s="81"/>
      <c r="H476" s="82"/>
      <c r="K476" s="49"/>
      <c r="L476" s="50"/>
      <c r="O476" s="51"/>
    </row>
    <row r="477">
      <c r="C477" s="80"/>
      <c r="F477" s="81"/>
      <c r="G477" s="81"/>
      <c r="H477" s="82"/>
      <c r="K477" s="49"/>
      <c r="L477" s="50"/>
      <c r="O477" s="51"/>
    </row>
    <row r="478">
      <c r="C478" s="80"/>
      <c r="F478" s="81"/>
      <c r="G478" s="81"/>
      <c r="H478" s="82"/>
      <c r="K478" s="49"/>
      <c r="L478" s="50"/>
      <c r="O478" s="51"/>
    </row>
    <row r="479">
      <c r="C479" s="80"/>
      <c r="F479" s="81"/>
      <c r="G479" s="81"/>
      <c r="H479" s="82"/>
      <c r="K479" s="49"/>
      <c r="L479" s="50"/>
      <c r="O479" s="51"/>
    </row>
    <row r="480">
      <c r="C480" s="80"/>
      <c r="F480" s="81"/>
      <c r="G480" s="81"/>
      <c r="H480" s="82"/>
      <c r="K480" s="49"/>
      <c r="L480" s="50"/>
      <c r="O480" s="51"/>
    </row>
    <row r="481">
      <c r="C481" s="80"/>
      <c r="F481" s="81"/>
      <c r="G481" s="81"/>
      <c r="H481" s="82"/>
      <c r="K481" s="49"/>
      <c r="L481" s="50"/>
      <c r="O481" s="51"/>
    </row>
    <row r="482">
      <c r="C482" s="80"/>
      <c r="F482" s="81"/>
      <c r="G482" s="81"/>
      <c r="H482" s="82"/>
      <c r="K482" s="49"/>
      <c r="L482" s="50"/>
      <c r="O482" s="51"/>
    </row>
    <row r="483">
      <c r="C483" s="80"/>
      <c r="F483" s="81"/>
      <c r="G483" s="81"/>
      <c r="H483" s="82"/>
      <c r="K483" s="49"/>
      <c r="L483" s="50"/>
      <c r="O483" s="51"/>
    </row>
    <row r="484">
      <c r="C484" s="80"/>
      <c r="F484" s="81"/>
      <c r="G484" s="81"/>
      <c r="H484" s="82"/>
      <c r="K484" s="49"/>
      <c r="L484" s="50"/>
      <c r="O484" s="51"/>
    </row>
    <row r="485">
      <c r="C485" s="80"/>
      <c r="F485" s="81"/>
      <c r="G485" s="81"/>
      <c r="H485" s="82"/>
      <c r="K485" s="49"/>
      <c r="L485" s="50"/>
      <c r="O485" s="51"/>
    </row>
    <row r="486">
      <c r="C486" s="80"/>
      <c r="F486" s="81"/>
      <c r="G486" s="81"/>
      <c r="H486" s="82"/>
      <c r="K486" s="49"/>
      <c r="L486" s="50"/>
      <c r="O486" s="51"/>
    </row>
    <row r="487">
      <c r="C487" s="80"/>
      <c r="F487" s="81"/>
      <c r="G487" s="81"/>
      <c r="H487" s="82"/>
      <c r="K487" s="49"/>
      <c r="L487" s="50"/>
      <c r="O487" s="51"/>
    </row>
    <row r="488">
      <c r="C488" s="80"/>
      <c r="F488" s="81"/>
      <c r="G488" s="81"/>
      <c r="H488" s="82"/>
      <c r="K488" s="49"/>
      <c r="L488" s="50"/>
      <c r="O488" s="51"/>
    </row>
    <row r="489">
      <c r="C489" s="80"/>
      <c r="F489" s="81"/>
      <c r="G489" s="81"/>
      <c r="H489" s="82"/>
      <c r="K489" s="49"/>
      <c r="L489" s="50"/>
      <c r="O489" s="51"/>
    </row>
    <row r="490">
      <c r="C490" s="80"/>
      <c r="F490" s="81"/>
      <c r="G490" s="81"/>
      <c r="H490" s="82"/>
      <c r="K490" s="49"/>
      <c r="L490" s="50"/>
      <c r="O490" s="51"/>
    </row>
    <row r="491">
      <c r="C491" s="80"/>
      <c r="F491" s="81"/>
      <c r="G491" s="81"/>
      <c r="H491" s="82"/>
      <c r="K491" s="49"/>
      <c r="L491" s="50"/>
      <c r="O491" s="51"/>
    </row>
    <row r="492">
      <c r="C492" s="80"/>
      <c r="F492" s="81"/>
      <c r="G492" s="81"/>
      <c r="H492" s="82"/>
      <c r="K492" s="49"/>
      <c r="L492" s="50"/>
      <c r="O492" s="51"/>
    </row>
    <row r="493">
      <c r="C493" s="80"/>
      <c r="F493" s="81"/>
      <c r="G493" s="81"/>
      <c r="H493" s="82"/>
      <c r="K493" s="49"/>
      <c r="L493" s="50"/>
      <c r="O493" s="51"/>
    </row>
    <row r="494">
      <c r="C494" s="80"/>
      <c r="F494" s="81"/>
      <c r="G494" s="81"/>
      <c r="H494" s="82"/>
      <c r="K494" s="49"/>
      <c r="L494" s="50"/>
      <c r="O494" s="51"/>
    </row>
    <row r="495">
      <c r="C495" s="80"/>
      <c r="F495" s="81"/>
      <c r="G495" s="81"/>
      <c r="H495" s="82"/>
      <c r="K495" s="49"/>
      <c r="L495" s="50"/>
      <c r="O495" s="51"/>
    </row>
    <row r="496">
      <c r="C496" s="80"/>
      <c r="F496" s="81"/>
      <c r="G496" s="81"/>
      <c r="H496" s="82"/>
      <c r="K496" s="49"/>
      <c r="L496" s="50"/>
      <c r="O496" s="51"/>
    </row>
    <row r="497">
      <c r="C497" s="80"/>
      <c r="F497" s="81"/>
      <c r="G497" s="81"/>
      <c r="H497" s="82"/>
      <c r="K497" s="49"/>
      <c r="L497" s="50"/>
      <c r="O497" s="51"/>
    </row>
    <row r="498">
      <c r="C498" s="80"/>
      <c r="F498" s="81"/>
      <c r="G498" s="81"/>
      <c r="H498" s="82"/>
      <c r="K498" s="49"/>
      <c r="L498" s="50"/>
      <c r="O498" s="51"/>
    </row>
    <row r="499">
      <c r="C499" s="80"/>
      <c r="F499" s="81"/>
      <c r="G499" s="81"/>
      <c r="H499" s="82"/>
      <c r="K499" s="49"/>
      <c r="L499" s="50"/>
      <c r="O499" s="51"/>
    </row>
    <row r="500">
      <c r="C500" s="80"/>
      <c r="F500" s="81"/>
      <c r="G500" s="81"/>
      <c r="H500" s="82"/>
      <c r="K500" s="49"/>
      <c r="L500" s="50"/>
      <c r="O500" s="51"/>
    </row>
    <row r="501">
      <c r="C501" s="80"/>
      <c r="F501" s="81"/>
      <c r="G501" s="81"/>
      <c r="H501" s="82"/>
      <c r="K501" s="49"/>
      <c r="L501" s="50"/>
      <c r="O501" s="51"/>
    </row>
    <row r="502">
      <c r="C502" s="80"/>
      <c r="F502" s="81"/>
      <c r="G502" s="81"/>
      <c r="H502" s="82"/>
      <c r="K502" s="49"/>
      <c r="L502" s="50"/>
      <c r="O502" s="51"/>
    </row>
    <row r="503">
      <c r="C503" s="80"/>
      <c r="F503" s="81"/>
      <c r="G503" s="81"/>
      <c r="H503" s="82"/>
      <c r="K503" s="49"/>
      <c r="L503" s="50"/>
      <c r="O503" s="51"/>
    </row>
    <row r="504">
      <c r="C504" s="80"/>
      <c r="F504" s="81"/>
      <c r="G504" s="81"/>
      <c r="H504" s="82"/>
      <c r="K504" s="49"/>
      <c r="L504" s="50"/>
      <c r="O504" s="51"/>
    </row>
    <row r="505">
      <c r="C505" s="80"/>
      <c r="F505" s="81"/>
      <c r="G505" s="81"/>
      <c r="H505" s="82"/>
      <c r="K505" s="49"/>
      <c r="L505" s="50"/>
      <c r="O505" s="51"/>
    </row>
    <row r="506">
      <c r="C506" s="80"/>
      <c r="F506" s="81"/>
      <c r="G506" s="81"/>
      <c r="H506" s="82"/>
      <c r="K506" s="49"/>
      <c r="L506" s="50"/>
      <c r="O506" s="51"/>
    </row>
    <row r="507">
      <c r="C507" s="80"/>
      <c r="F507" s="81"/>
      <c r="G507" s="81"/>
      <c r="H507" s="82"/>
      <c r="K507" s="49"/>
      <c r="L507" s="50"/>
      <c r="O507" s="51"/>
    </row>
    <row r="508">
      <c r="C508" s="80"/>
      <c r="F508" s="81"/>
      <c r="G508" s="81"/>
      <c r="H508" s="82"/>
      <c r="K508" s="49"/>
      <c r="L508" s="50"/>
      <c r="O508" s="51"/>
    </row>
    <row r="509">
      <c r="C509" s="80"/>
      <c r="F509" s="81"/>
      <c r="G509" s="81"/>
      <c r="H509" s="82"/>
      <c r="K509" s="49"/>
      <c r="L509" s="50"/>
      <c r="O509" s="51"/>
    </row>
    <row r="510">
      <c r="C510" s="80"/>
      <c r="F510" s="81"/>
      <c r="G510" s="81"/>
      <c r="H510" s="82"/>
      <c r="K510" s="49"/>
      <c r="L510" s="50"/>
      <c r="O510" s="51"/>
    </row>
    <row r="511">
      <c r="C511" s="80"/>
      <c r="F511" s="81"/>
      <c r="G511" s="81"/>
      <c r="H511" s="82"/>
      <c r="K511" s="49"/>
      <c r="L511" s="50"/>
      <c r="O511" s="51"/>
    </row>
    <row r="512">
      <c r="C512" s="80"/>
      <c r="F512" s="81"/>
      <c r="G512" s="81"/>
      <c r="H512" s="82"/>
      <c r="K512" s="49"/>
      <c r="L512" s="50"/>
      <c r="O512" s="51"/>
    </row>
    <row r="513">
      <c r="C513" s="80"/>
      <c r="F513" s="81"/>
      <c r="G513" s="81"/>
      <c r="H513" s="82"/>
      <c r="K513" s="49"/>
      <c r="L513" s="50"/>
      <c r="O513" s="51"/>
    </row>
    <row r="514">
      <c r="C514" s="80"/>
      <c r="F514" s="81"/>
      <c r="G514" s="81"/>
      <c r="H514" s="82"/>
      <c r="K514" s="49"/>
      <c r="L514" s="50"/>
      <c r="O514" s="51"/>
    </row>
    <row r="515">
      <c r="C515" s="80"/>
      <c r="F515" s="81"/>
      <c r="G515" s="81"/>
      <c r="H515" s="82"/>
      <c r="K515" s="49"/>
      <c r="L515" s="50"/>
      <c r="O515" s="51"/>
    </row>
    <row r="516">
      <c r="C516" s="80"/>
      <c r="F516" s="81"/>
      <c r="G516" s="81"/>
      <c r="H516" s="82"/>
      <c r="K516" s="49"/>
      <c r="L516" s="50"/>
      <c r="O516" s="51"/>
    </row>
    <row r="517">
      <c r="C517" s="80"/>
      <c r="F517" s="81"/>
      <c r="G517" s="81"/>
      <c r="H517" s="82"/>
      <c r="K517" s="49"/>
      <c r="L517" s="50"/>
      <c r="O517" s="51"/>
    </row>
    <row r="518">
      <c r="C518" s="80"/>
      <c r="F518" s="81"/>
      <c r="G518" s="81"/>
      <c r="H518" s="82"/>
      <c r="K518" s="49"/>
      <c r="L518" s="50"/>
      <c r="O518" s="51"/>
    </row>
    <row r="519">
      <c r="C519" s="80"/>
      <c r="F519" s="81"/>
      <c r="G519" s="81"/>
      <c r="H519" s="82"/>
      <c r="K519" s="49"/>
      <c r="L519" s="50"/>
      <c r="O519" s="51"/>
    </row>
    <row r="520">
      <c r="C520" s="80"/>
      <c r="F520" s="81"/>
      <c r="G520" s="81"/>
      <c r="H520" s="82"/>
      <c r="K520" s="49"/>
      <c r="L520" s="50"/>
      <c r="O520" s="51"/>
    </row>
    <row r="521">
      <c r="C521" s="80"/>
      <c r="F521" s="81"/>
      <c r="G521" s="81"/>
      <c r="H521" s="82"/>
      <c r="K521" s="49"/>
      <c r="L521" s="50"/>
      <c r="O521" s="51"/>
    </row>
    <row r="522">
      <c r="C522" s="80"/>
      <c r="F522" s="81"/>
      <c r="G522" s="81"/>
      <c r="H522" s="82"/>
      <c r="K522" s="49"/>
      <c r="L522" s="50"/>
      <c r="O522" s="51"/>
    </row>
    <row r="523">
      <c r="C523" s="80"/>
      <c r="F523" s="81"/>
      <c r="G523" s="81"/>
      <c r="H523" s="82"/>
      <c r="K523" s="49"/>
      <c r="L523" s="50"/>
      <c r="O523" s="51"/>
    </row>
    <row r="524">
      <c r="C524" s="80"/>
      <c r="F524" s="81"/>
      <c r="G524" s="81"/>
      <c r="H524" s="82"/>
      <c r="K524" s="49"/>
      <c r="L524" s="50"/>
      <c r="O524" s="51"/>
    </row>
    <row r="525">
      <c r="C525" s="80"/>
      <c r="F525" s="81"/>
      <c r="G525" s="81"/>
      <c r="H525" s="82"/>
      <c r="K525" s="49"/>
      <c r="L525" s="50"/>
      <c r="O525" s="51"/>
    </row>
    <row r="526">
      <c r="C526" s="80"/>
      <c r="F526" s="81"/>
      <c r="G526" s="81"/>
      <c r="H526" s="82"/>
      <c r="K526" s="49"/>
      <c r="L526" s="50"/>
      <c r="O526" s="51"/>
    </row>
    <row r="527">
      <c r="C527" s="80"/>
      <c r="F527" s="81"/>
      <c r="G527" s="81"/>
      <c r="H527" s="82"/>
      <c r="K527" s="49"/>
      <c r="L527" s="50"/>
      <c r="O527" s="51"/>
    </row>
    <row r="528">
      <c r="C528" s="80"/>
      <c r="F528" s="81"/>
      <c r="G528" s="81"/>
      <c r="H528" s="82"/>
      <c r="K528" s="49"/>
      <c r="L528" s="50"/>
      <c r="O528" s="51"/>
    </row>
    <row r="529">
      <c r="C529" s="80"/>
      <c r="F529" s="81"/>
      <c r="G529" s="81"/>
      <c r="H529" s="82"/>
      <c r="K529" s="49"/>
      <c r="L529" s="50"/>
      <c r="O529" s="51"/>
    </row>
    <row r="530">
      <c r="C530" s="80"/>
      <c r="F530" s="81"/>
      <c r="G530" s="81"/>
      <c r="H530" s="82"/>
      <c r="K530" s="49"/>
      <c r="L530" s="50"/>
      <c r="O530" s="51"/>
    </row>
    <row r="531">
      <c r="C531" s="80"/>
      <c r="F531" s="81"/>
      <c r="G531" s="81"/>
      <c r="H531" s="82"/>
      <c r="K531" s="49"/>
      <c r="L531" s="50"/>
      <c r="O531" s="51"/>
    </row>
    <row r="532">
      <c r="C532" s="80"/>
      <c r="F532" s="81"/>
      <c r="G532" s="81"/>
      <c r="H532" s="82"/>
      <c r="K532" s="49"/>
      <c r="L532" s="50"/>
      <c r="O532" s="51"/>
    </row>
    <row r="533">
      <c r="C533" s="80"/>
      <c r="F533" s="81"/>
      <c r="G533" s="81"/>
      <c r="H533" s="82"/>
      <c r="K533" s="49"/>
      <c r="L533" s="50"/>
      <c r="O533" s="51"/>
    </row>
    <row r="534">
      <c r="C534" s="80"/>
      <c r="F534" s="81"/>
      <c r="G534" s="81"/>
      <c r="H534" s="82"/>
      <c r="K534" s="49"/>
      <c r="L534" s="50"/>
      <c r="O534" s="51"/>
    </row>
    <row r="535">
      <c r="C535" s="80"/>
      <c r="F535" s="81"/>
      <c r="G535" s="81"/>
      <c r="H535" s="82"/>
      <c r="K535" s="49"/>
      <c r="L535" s="50"/>
      <c r="O535" s="51"/>
    </row>
    <row r="536">
      <c r="C536" s="80"/>
      <c r="F536" s="81"/>
      <c r="G536" s="81"/>
      <c r="H536" s="82"/>
      <c r="K536" s="49"/>
      <c r="L536" s="50"/>
      <c r="O536" s="51"/>
    </row>
    <row r="537">
      <c r="C537" s="80"/>
      <c r="F537" s="81"/>
      <c r="G537" s="81"/>
      <c r="H537" s="82"/>
      <c r="K537" s="49"/>
      <c r="L537" s="50"/>
      <c r="O537" s="51"/>
    </row>
    <row r="538">
      <c r="C538" s="80"/>
      <c r="F538" s="81"/>
      <c r="G538" s="81"/>
      <c r="H538" s="82"/>
      <c r="K538" s="49"/>
      <c r="L538" s="50"/>
      <c r="O538" s="51"/>
    </row>
    <row r="539">
      <c r="C539" s="80"/>
      <c r="F539" s="81"/>
      <c r="G539" s="81"/>
      <c r="H539" s="82"/>
      <c r="K539" s="49"/>
      <c r="L539" s="50"/>
      <c r="O539" s="51"/>
    </row>
    <row r="540">
      <c r="C540" s="80"/>
      <c r="F540" s="81"/>
      <c r="G540" s="81"/>
      <c r="H540" s="82"/>
      <c r="K540" s="49"/>
      <c r="L540" s="50"/>
      <c r="O540" s="51"/>
    </row>
    <row r="541">
      <c r="C541" s="80"/>
      <c r="F541" s="81"/>
      <c r="G541" s="81"/>
      <c r="H541" s="82"/>
      <c r="K541" s="49"/>
      <c r="L541" s="50"/>
      <c r="O541" s="51"/>
    </row>
    <row r="542">
      <c r="C542" s="80"/>
      <c r="F542" s="81"/>
      <c r="G542" s="81"/>
      <c r="H542" s="82"/>
      <c r="K542" s="49"/>
      <c r="L542" s="50"/>
      <c r="O542" s="51"/>
    </row>
    <row r="543">
      <c r="C543" s="80"/>
      <c r="F543" s="81"/>
      <c r="G543" s="81"/>
      <c r="H543" s="82"/>
      <c r="K543" s="49"/>
      <c r="L543" s="50"/>
      <c r="O543" s="51"/>
    </row>
    <row r="544">
      <c r="C544" s="80"/>
      <c r="F544" s="81"/>
      <c r="G544" s="81"/>
      <c r="H544" s="82"/>
      <c r="K544" s="49"/>
      <c r="L544" s="50"/>
      <c r="O544" s="51"/>
    </row>
    <row r="545">
      <c r="C545" s="80"/>
      <c r="F545" s="81"/>
      <c r="G545" s="81"/>
      <c r="H545" s="82"/>
      <c r="K545" s="49"/>
      <c r="L545" s="50"/>
      <c r="O545" s="51"/>
    </row>
    <row r="546">
      <c r="C546" s="80"/>
      <c r="F546" s="81"/>
      <c r="G546" s="81"/>
      <c r="H546" s="82"/>
      <c r="K546" s="49"/>
      <c r="L546" s="50"/>
      <c r="O546" s="51"/>
    </row>
    <row r="547">
      <c r="C547" s="80"/>
      <c r="F547" s="81"/>
      <c r="G547" s="81"/>
      <c r="H547" s="82"/>
      <c r="K547" s="49"/>
      <c r="L547" s="50"/>
      <c r="O547" s="51"/>
    </row>
    <row r="548">
      <c r="C548" s="80"/>
      <c r="F548" s="81"/>
      <c r="G548" s="81"/>
      <c r="H548" s="82"/>
      <c r="K548" s="49"/>
      <c r="L548" s="50"/>
      <c r="O548" s="51"/>
    </row>
    <row r="549">
      <c r="C549" s="80"/>
      <c r="F549" s="81"/>
      <c r="G549" s="81"/>
      <c r="H549" s="82"/>
      <c r="K549" s="49"/>
      <c r="L549" s="50"/>
      <c r="O549" s="51"/>
    </row>
    <row r="550">
      <c r="C550" s="80"/>
      <c r="F550" s="81"/>
      <c r="G550" s="81"/>
      <c r="H550" s="82"/>
      <c r="K550" s="49"/>
      <c r="L550" s="50"/>
      <c r="O550" s="51"/>
    </row>
    <row r="551">
      <c r="C551" s="80"/>
      <c r="F551" s="81"/>
      <c r="G551" s="81"/>
      <c r="H551" s="82"/>
      <c r="K551" s="49"/>
      <c r="L551" s="50"/>
      <c r="O551" s="51"/>
    </row>
    <row r="552">
      <c r="C552" s="80"/>
      <c r="F552" s="81"/>
      <c r="G552" s="81"/>
      <c r="H552" s="82"/>
      <c r="K552" s="49"/>
      <c r="L552" s="50"/>
      <c r="O552" s="51"/>
    </row>
    <row r="553">
      <c r="C553" s="80"/>
      <c r="F553" s="81"/>
      <c r="G553" s="81"/>
      <c r="H553" s="82"/>
      <c r="K553" s="49"/>
      <c r="L553" s="50"/>
      <c r="O553" s="51"/>
    </row>
    <row r="554">
      <c r="C554" s="80"/>
      <c r="F554" s="81"/>
      <c r="G554" s="81"/>
      <c r="H554" s="82"/>
      <c r="K554" s="49"/>
      <c r="L554" s="50"/>
      <c r="O554" s="51"/>
    </row>
    <row r="555">
      <c r="C555" s="80"/>
      <c r="F555" s="81"/>
      <c r="G555" s="81"/>
      <c r="H555" s="82"/>
      <c r="K555" s="49"/>
      <c r="L555" s="50"/>
      <c r="O555" s="51"/>
    </row>
    <row r="556">
      <c r="C556" s="80"/>
      <c r="F556" s="81"/>
      <c r="G556" s="81"/>
      <c r="H556" s="82"/>
      <c r="K556" s="49"/>
      <c r="L556" s="50"/>
      <c r="O556" s="51"/>
    </row>
    <row r="557">
      <c r="C557" s="80"/>
      <c r="F557" s="81"/>
      <c r="G557" s="81"/>
      <c r="H557" s="82"/>
      <c r="K557" s="49"/>
      <c r="L557" s="50"/>
      <c r="O557" s="51"/>
    </row>
    <row r="558">
      <c r="C558" s="80"/>
      <c r="F558" s="81"/>
      <c r="G558" s="81"/>
      <c r="H558" s="82"/>
      <c r="K558" s="49"/>
      <c r="L558" s="50"/>
      <c r="O558" s="51"/>
    </row>
    <row r="559">
      <c r="C559" s="80"/>
      <c r="F559" s="81"/>
      <c r="G559" s="81"/>
      <c r="H559" s="82"/>
      <c r="K559" s="49"/>
      <c r="L559" s="50"/>
      <c r="O559" s="51"/>
    </row>
    <row r="560">
      <c r="C560" s="80"/>
      <c r="F560" s="81"/>
      <c r="G560" s="81"/>
      <c r="H560" s="82"/>
      <c r="K560" s="49"/>
      <c r="L560" s="50"/>
      <c r="O560" s="51"/>
    </row>
    <row r="561">
      <c r="C561" s="80"/>
      <c r="F561" s="81"/>
      <c r="G561" s="81"/>
      <c r="H561" s="82"/>
      <c r="K561" s="49"/>
      <c r="L561" s="50"/>
      <c r="O561" s="51"/>
    </row>
    <row r="562">
      <c r="C562" s="80"/>
      <c r="F562" s="81"/>
      <c r="G562" s="81"/>
      <c r="H562" s="82"/>
      <c r="K562" s="49"/>
      <c r="L562" s="50"/>
      <c r="O562" s="51"/>
    </row>
    <row r="563">
      <c r="C563" s="80"/>
      <c r="F563" s="81"/>
      <c r="G563" s="81"/>
      <c r="H563" s="82"/>
      <c r="K563" s="49"/>
      <c r="L563" s="50"/>
      <c r="O563" s="51"/>
    </row>
    <row r="564">
      <c r="C564" s="80"/>
      <c r="F564" s="81"/>
      <c r="G564" s="81"/>
      <c r="H564" s="82"/>
      <c r="K564" s="49"/>
      <c r="L564" s="50"/>
      <c r="O564" s="51"/>
    </row>
    <row r="565">
      <c r="C565" s="80"/>
      <c r="F565" s="81"/>
      <c r="G565" s="81"/>
      <c r="H565" s="82"/>
      <c r="K565" s="49"/>
      <c r="L565" s="50"/>
      <c r="O565" s="51"/>
    </row>
    <row r="566">
      <c r="C566" s="80"/>
      <c r="F566" s="81"/>
      <c r="G566" s="81"/>
      <c r="H566" s="82"/>
      <c r="K566" s="49"/>
      <c r="L566" s="50"/>
      <c r="O566" s="51"/>
    </row>
    <row r="567">
      <c r="C567" s="80"/>
      <c r="F567" s="81"/>
      <c r="G567" s="81"/>
      <c r="H567" s="82"/>
      <c r="K567" s="49"/>
      <c r="L567" s="50"/>
      <c r="O567" s="51"/>
    </row>
    <row r="568">
      <c r="C568" s="80"/>
      <c r="F568" s="81"/>
      <c r="G568" s="81"/>
      <c r="H568" s="82"/>
      <c r="K568" s="49"/>
      <c r="L568" s="50"/>
      <c r="O568" s="51"/>
    </row>
    <row r="569">
      <c r="C569" s="80"/>
      <c r="F569" s="81"/>
      <c r="G569" s="81"/>
      <c r="H569" s="82"/>
      <c r="K569" s="49"/>
      <c r="L569" s="50"/>
      <c r="O569" s="51"/>
    </row>
    <row r="570">
      <c r="C570" s="80"/>
      <c r="F570" s="81"/>
      <c r="G570" s="81"/>
      <c r="H570" s="82"/>
      <c r="K570" s="49"/>
      <c r="L570" s="50"/>
      <c r="O570" s="51"/>
    </row>
    <row r="571">
      <c r="C571" s="80"/>
      <c r="F571" s="81"/>
      <c r="G571" s="81"/>
      <c r="H571" s="82"/>
      <c r="K571" s="49"/>
      <c r="L571" s="50"/>
      <c r="O571" s="51"/>
    </row>
    <row r="572">
      <c r="C572" s="80"/>
      <c r="F572" s="81"/>
      <c r="G572" s="81"/>
      <c r="H572" s="82"/>
      <c r="K572" s="49"/>
      <c r="L572" s="50"/>
      <c r="O572" s="51"/>
    </row>
    <row r="573">
      <c r="C573" s="80"/>
      <c r="F573" s="81"/>
      <c r="G573" s="81"/>
      <c r="H573" s="82"/>
      <c r="K573" s="49"/>
      <c r="L573" s="50"/>
      <c r="O573" s="51"/>
    </row>
    <row r="574">
      <c r="C574" s="80"/>
      <c r="F574" s="81"/>
      <c r="G574" s="81"/>
      <c r="H574" s="82"/>
      <c r="K574" s="49"/>
      <c r="L574" s="50"/>
      <c r="O574" s="51"/>
    </row>
    <row r="575">
      <c r="C575" s="80"/>
      <c r="F575" s="81"/>
      <c r="G575" s="81"/>
      <c r="H575" s="82"/>
      <c r="K575" s="49"/>
      <c r="L575" s="50"/>
      <c r="O575" s="51"/>
    </row>
    <row r="576">
      <c r="C576" s="80"/>
      <c r="F576" s="81"/>
      <c r="G576" s="81"/>
      <c r="H576" s="82"/>
      <c r="K576" s="49"/>
      <c r="L576" s="50"/>
      <c r="O576" s="51"/>
    </row>
    <row r="577">
      <c r="C577" s="80"/>
      <c r="F577" s="81"/>
      <c r="G577" s="81"/>
      <c r="H577" s="82"/>
      <c r="K577" s="49"/>
      <c r="L577" s="50"/>
      <c r="O577" s="51"/>
    </row>
    <row r="578">
      <c r="C578" s="80"/>
      <c r="F578" s="81"/>
      <c r="G578" s="81"/>
      <c r="H578" s="82"/>
      <c r="K578" s="49"/>
      <c r="L578" s="50"/>
      <c r="O578" s="51"/>
    </row>
    <row r="579">
      <c r="C579" s="80"/>
      <c r="F579" s="81"/>
      <c r="G579" s="81"/>
      <c r="H579" s="82"/>
      <c r="K579" s="49"/>
      <c r="L579" s="50"/>
      <c r="O579" s="51"/>
    </row>
    <row r="580">
      <c r="C580" s="80"/>
      <c r="F580" s="81"/>
      <c r="G580" s="81"/>
      <c r="H580" s="82"/>
      <c r="K580" s="49"/>
      <c r="L580" s="50"/>
      <c r="O580" s="51"/>
    </row>
    <row r="581">
      <c r="C581" s="80"/>
      <c r="F581" s="81"/>
      <c r="G581" s="81"/>
      <c r="H581" s="82"/>
      <c r="K581" s="49"/>
      <c r="L581" s="50"/>
      <c r="O581" s="51"/>
    </row>
    <row r="582">
      <c r="C582" s="80"/>
      <c r="F582" s="81"/>
      <c r="G582" s="81"/>
      <c r="H582" s="82"/>
      <c r="K582" s="49"/>
      <c r="L582" s="50"/>
      <c r="O582" s="51"/>
    </row>
    <row r="583">
      <c r="C583" s="80"/>
      <c r="F583" s="81"/>
      <c r="G583" s="81"/>
      <c r="H583" s="82"/>
      <c r="K583" s="49"/>
      <c r="L583" s="50"/>
      <c r="O583" s="51"/>
    </row>
    <row r="584">
      <c r="C584" s="80"/>
      <c r="F584" s="81"/>
      <c r="G584" s="81"/>
      <c r="H584" s="82"/>
      <c r="K584" s="49"/>
      <c r="L584" s="50"/>
      <c r="O584" s="51"/>
    </row>
    <row r="585">
      <c r="C585" s="80"/>
      <c r="F585" s="81"/>
      <c r="G585" s="81"/>
      <c r="H585" s="82"/>
      <c r="K585" s="49"/>
      <c r="L585" s="50"/>
      <c r="O585" s="51"/>
    </row>
    <row r="586">
      <c r="C586" s="80"/>
      <c r="F586" s="81"/>
      <c r="G586" s="81"/>
      <c r="H586" s="82"/>
      <c r="K586" s="49"/>
      <c r="L586" s="50"/>
      <c r="O586" s="51"/>
    </row>
    <row r="587">
      <c r="C587" s="80"/>
      <c r="F587" s="81"/>
      <c r="G587" s="81"/>
      <c r="H587" s="82"/>
      <c r="K587" s="49"/>
      <c r="L587" s="50"/>
      <c r="O587" s="51"/>
    </row>
    <row r="588">
      <c r="C588" s="80"/>
      <c r="F588" s="81"/>
      <c r="G588" s="81"/>
      <c r="H588" s="82"/>
      <c r="K588" s="49"/>
      <c r="L588" s="50"/>
      <c r="O588" s="51"/>
    </row>
    <row r="589">
      <c r="C589" s="80"/>
      <c r="F589" s="81"/>
      <c r="G589" s="81"/>
      <c r="H589" s="82"/>
      <c r="K589" s="49"/>
      <c r="L589" s="50"/>
      <c r="O589" s="51"/>
    </row>
    <row r="590">
      <c r="C590" s="80"/>
      <c r="F590" s="81"/>
      <c r="G590" s="81"/>
      <c r="H590" s="82"/>
      <c r="K590" s="49"/>
      <c r="L590" s="50"/>
      <c r="O590" s="51"/>
    </row>
    <row r="591">
      <c r="C591" s="80"/>
      <c r="F591" s="81"/>
      <c r="G591" s="81"/>
      <c r="H591" s="82"/>
      <c r="K591" s="49"/>
      <c r="L591" s="50"/>
      <c r="O591" s="51"/>
    </row>
    <row r="592">
      <c r="C592" s="80"/>
      <c r="F592" s="81"/>
      <c r="G592" s="81"/>
      <c r="H592" s="82"/>
      <c r="K592" s="49"/>
      <c r="L592" s="50"/>
      <c r="O592" s="51"/>
    </row>
    <row r="593">
      <c r="C593" s="80"/>
      <c r="F593" s="81"/>
      <c r="G593" s="81"/>
      <c r="H593" s="82"/>
      <c r="K593" s="49"/>
      <c r="L593" s="50"/>
      <c r="O593" s="51"/>
    </row>
    <row r="594">
      <c r="C594" s="80"/>
      <c r="F594" s="81"/>
      <c r="G594" s="81"/>
      <c r="H594" s="82"/>
      <c r="K594" s="49"/>
      <c r="L594" s="50"/>
      <c r="O594" s="51"/>
    </row>
    <row r="595">
      <c r="C595" s="80"/>
      <c r="F595" s="81"/>
      <c r="G595" s="81"/>
      <c r="H595" s="82"/>
      <c r="K595" s="49"/>
      <c r="L595" s="50"/>
      <c r="O595" s="51"/>
    </row>
    <row r="596">
      <c r="C596" s="80"/>
      <c r="F596" s="81"/>
      <c r="G596" s="81"/>
      <c r="H596" s="82"/>
      <c r="K596" s="49"/>
      <c r="L596" s="50"/>
      <c r="O596" s="51"/>
    </row>
    <row r="597">
      <c r="C597" s="80"/>
      <c r="F597" s="81"/>
      <c r="G597" s="81"/>
      <c r="H597" s="82"/>
      <c r="K597" s="49"/>
      <c r="L597" s="50"/>
      <c r="O597" s="51"/>
    </row>
    <row r="598">
      <c r="C598" s="80"/>
      <c r="F598" s="81"/>
      <c r="G598" s="81"/>
      <c r="H598" s="82"/>
      <c r="K598" s="49"/>
      <c r="L598" s="50"/>
      <c r="O598" s="51"/>
    </row>
    <row r="599">
      <c r="C599" s="80"/>
      <c r="F599" s="81"/>
      <c r="G599" s="81"/>
      <c r="H599" s="82"/>
      <c r="K599" s="49"/>
      <c r="L599" s="50"/>
      <c r="O599" s="51"/>
    </row>
    <row r="600">
      <c r="C600" s="80"/>
      <c r="F600" s="81"/>
      <c r="G600" s="81"/>
      <c r="H600" s="82"/>
      <c r="K600" s="49"/>
      <c r="L600" s="50"/>
      <c r="O600" s="51"/>
    </row>
    <row r="601">
      <c r="C601" s="80"/>
      <c r="F601" s="81"/>
      <c r="G601" s="81"/>
      <c r="H601" s="82"/>
      <c r="K601" s="49"/>
      <c r="L601" s="50"/>
      <c r="O601" s="51"/>
    </row>
    <row r="602">
      <c r="C602" s="80"/>
      <c r="F602" s="81"/>
      <c r="G602" s="81"/>
      <c r="H602" s="82"/>
      <c r="K602" s="49"/>
      <c r="L602" s="50"/>
      <c r="O602" s="51"/>
    </row>
    <row r="603">
      <c r="C603" s="80"/>
      <c r="F603" s="81"/>
      <c r="G603" s="81"/>
      <c r="H603" s="82"/>
      <c r="K603" s="49"/>
      <c r="L603" s="50"/>
      <c r="O603" s="51"/>
    </row>
    <row r="604">
      <c r="C604" s="80"/>
      <c r="F604" s="81"/>
      <c r="G604" s="81"/>
      <c r="H604" s="82"/>
      <c r="K604" s="49"/>
      <c r="L604" s="50"/>
      <c r="O604" s="51"/>
    </row>
    <row r="605">
      <c r="C605" s="80"/>
      <c r="F605" s="81"/>
      <c r="G605" s="81"/>
      <c r="H605" s="82"/>
      <c r="K605" s="49"/>
      <c r="L605" s="50"/>
      <c r="O605" s="51"/>
    </row>
    <row r="606">
      <c r="C606" s="80"/>
      <c r="F606" s="81"/>
      <c r="G606" s="81"/>
      <c r="H606" s="82"/>
      <c r="K606" s="49"/>
      <c r="L606" s="50"/>
      <c r="O606" s="51"/>
    </row>
    <row r="607">
      <c r="C607" s="80"/>
      <c r="F607" s="81"/>
      <c r="G607" s="81"/>
      <c r="H607" s="82"/>
      <c r="K607" s="49"/>
      <c r="L607" s="50"/>
      <c r="O607" s="51"/>
    </row>
    <row r="608">
      <c r="C608" s="80"/>
      <c r="F608" s="81"/>
      <c r="G608" s="81"/>
      <c r="H608" s="82"/>
      <c r="K608" s="49"/>
      <c r="L608" s="50"/>
      <c r="O608" s="51"/>
    </row>
    <row r="609">
      <c r="C609" s="80"/>
      <c r="F609" s="81"/>
      <c r="G609" s="81"/>
      <c r="H609" s="82"/>
      <c r="K609" s="49"/>
      <c r="L609" s="50"/>
      <c r="O609" s="51"/>
    </row>
    <row r="610">
      <c r="C610" s="80"/>
      <c r="F610" s="81"/>
      <c r="G610" s="81"/>
      <c r="H610" s="82"/>
      <c r="K610" s="49"/>
      <c r="L610" s="50"/>
      <c r="O610" s="51"/>
    </row>
    <row r="611">
      <c r="C611" s="80"/>
      <c r="F611" s="81"/>
      <c r="G611" s="81"/>
      <c r="H611" s="82"/>
      <c r="K611" s="49"/>
      <c r="L611" s="50"/>
      <c r="O611" s="51"/>
    </row>
    <row r="612">
      <c r="C612" s="80"/>
      <c r="F612" s="81"/>
      <c r="G612" s="81"/>
      <c r="H612" s="82"/>
      <c r="K612" s="49"/>
      <c r="L612" s="50"/>
      <c r="O612" s="51"/>
    </row>
    <row r="613">
      <c r="C613" s="80"/>
      <c r="F613" s="81"/>
      <c r="G613" s="81"/>
      <c r="H613" s="82"/>
      <c r="K613" s="49"/>
      <c r="L613" s="50"/>
      <c r="O613" s="51"/>
    </row>
    <row r="614">
      <c r="C614" s="80"/>
      <c r="F614" s="81"/>
      <c r="G614" s="81"/>
      <c r="H614" s="82"/>
      <c r="K614" s="49"/>
      <c r="L614" s="50"/>
      <c r="O614" s="51"/>
    </row>
    <row r="615">
      <c r="C615" s="80"/>
      <c r="F615" s="81"/>
      <c r="G615" s="81"/>
      <c r="H615" s="82"/>
      <c r="K615" s="49"/>
      <c r="L615" s="50"/>
      <c r="O615" s="51"/>
    </row>
    <row r="616">
      <c r="C616" s="80"/>
      <c r="F616" s="81"/>
      <c r="G616" s="81"/>
      <c r="H616" s="82"/>
      <c r="K616" s="49"/>
      <c r="L616" s="50"/>
      <c r="O616" s="51"/>
    </row>
    <row r="617">
      <c r="C617" s="80"/>
      <c r="F617" s="81"/>
      <c r="G617" s="81"/>
      <c r="H617" s="82"/>
      <c r="K617" s="49"/>
      <c r="L617" s="50"/>
      <c r="O617" s="51"/>
    </row>
    <row r="618">
      <c r="C618" s="80"/>
      <c r="F618" s="81"/>
      <c r="G618" s="81"/>
      <c r="H618" s="82"/>
      <c r="K618" s="49"/>
      <c r="L618" s="50"/>
      <c r="O618" s="51"/>
    </row>
    <row r="619">
      <c r="C619" s="80"/>
      <c r="F619" s="81"/>
      <c r="G619" s="81"/>
      <c r="H619" s="82"/>
      <c r="K619" s="49"/>
      <c r="L619" s="50"/>
      <c r="O619" s="51"/>
    </row>
    <row r="620">
      <c r="C620" s="80"/>
      <c r="F620" s="81"/>
      <c r="G620" s="81"/>
      <c r="H620" s="82"/>
      <c r="K620" s="49"/>
      <c r="L620" s="50"/>
      <c r="O620" s="51"/>
    </row>
    <row r="621">
      <c r="C621" s="80"/>
      <c r="F621" s="81"/>
      <c r="G621" s="81"/>
      <c r="H621" s="82"/>
      <c r="K621" s="49"/>
      <c r="L621" s="50"/>
      <c r="O621" s="51"/>
    </row>
    <row r="622">
      <c r="C622" s="80"/>
      <c r="F622" s="81"/>
      <c r="G622" s="81"/>
      <c r="H622" s="82"/>
      <c r="K622" s="49"/>
      <c r="L622" s="50"/>
      <c r="O622" s="51"/>
    </row>
    <row r="623">
      <c r="C623" s="80"/>
      <c r="F623" s="81"/>
      <c r="G623" s="81"/>
      <c r="H623" s="82"/>
      <c r="K623" s="49"/>
      <c r="L623" s="50"/>
      <c r="O623" s="51"/>
    </row>
    <row r="624">
      <c r="C624" s="80"/>
      <c r="F624" s="81"/>
      <c r="G624" s="81"/>
      <c r="H624" s="82"/>
      <c r="K624" s="49"/>
      <c r="L624" s="50"/>
      <c r="O624" s="51"/>
    </row>
    <row r="625">
      <c r="C625" s="80"/>
      <c r="F625" s="81"/>
      <c r="G625" s="81"/>
      <c r="H625" s="82"/>
      <c r="K625" s="49"/>
      <c r="L625" s="50"/>
      <c r="O625" s="51"/>
    </row>
    <row r="626">
      <c r="C626" s="80"/>
      <c r="F626" s="81"/>
      <c r="G626" s="81"/>
      <c r="H626" s="82"/>
      <c r="K626" s="49"/>
      <c r="L626" s="50"/>
      <c r="O626" s="51"/>
    </row>
    <row r="627">
      <c r="C627" s="80"/>
      <c r="F627" s="81"/>
      <c r="G627" s="81"/>
      <c r="H627" s="82"/>
      <c r="K627" s="49"/>
      <c r="L627" s="50"/>
      <c r="O627" s="51"/>
    </row>
    <row r="628">
      <c r="C628" s="80"/>
      <c r="F628" s="81"/>
      <c r="G628" s="81"/>
      <c r="H628" s="82"/>
      <c r="K628" s="49"/>
      <c r="L628" s="50"/>
      <c r="O628" s="51"/>
    </row>
    <row r="629">
      <c r="C629" s="80"/>
      <c r="F629" s="81"/>
      <c r="G629" s="81"/>
      <c r="H629" s="82"/>
      <c r="K629" s="49"/>
      <c r="L629" s="50"/>
      <c r="O629" s="51"/>
    </row>
    <row r="630">
      <c r="C630" s="80"/>
      <c r="F630" s="81"/>
      <c r="G630" s="81"/>
      <c r="H630" s="82"/>
      <c r="K630" s="49"/>
      <c r="L630" s="50"/>
      <c r="O630" s="51"/>
    </row>
    <row r="631">
      <c r="C631" s="80"/>
      <c r="F631" s="81"/>
      <c r="G631" s="81"/>
      <c r="H631" s="82"/>
      <c r="K631" s="49"/>
      <c r="L631" s="50"/>
      <c r="O631" s="51"/>
    </row>
    <row r="632">
      <c r="C632" s="80"/>
      <c r="F632" s="81"/>
      <c r="G632" s="81"/>
      <c r="H632" s="82"/>
      <c r="K632" s="49"/>
      <c r="L632" s="50"/>
      <c r="O632" s="51"/>
    </row>
    <row r="633">
      <c r="C633" s="80"/>
      <c r="F633" s="81"/>
      <c r="G633" s="81"/>
      <c r="H633" s="82"/>
      <c r="K633" s="49"/>
      <c r="L633" s="50"/>
      <c r="O633" s="51"/>
    </row>
    <row r="634">
      <c r="C634" s="80"/>
      <c r="F634" s="81"/>
      <c r="G634" s="81"/>
      <c r="H634" s="82"/>
      <c r="K634" s="49"/>
      <c r="L634" s="50"/>
      <c r="O634" s="51"/>
    </row>
    <row r="635">
      <c r="C635" s="80"/>
      <c r="F635" s="81"/>
      <c r="G635" s="81"/>
      <c r="H635" s="82"/>
      <c r="K635" s="49"/>
      <c r="L635" s="50"/>
      <c r="O635" s="51"/>
    </row>
    <row r="636">
      <c r="C636" s="80"/>
      <c r="F636" s="81"/>
      <c r="G636" s="81"/>
      <c r="H636" s="82"/>
      <c r="K636" s="49"/>
      <c r="L636" s="50"/>
      <c r="O636" s="51"/>
    </row>
    <row r="637">
      <c r="C637" s="80"/>
      <c r="F637" s="81"/>
      <c r="G637" s="81"/>
      <c r="H637" s="82"/>
      <c r="K637" s="49"/>
      <c r="L637" s="50"/>
      <c r="O637" s="51"/>
    </row>
    <row r="638">
      <c r="C638" s="80"/>
      <c r="F638" s="81"/>
      <c r="G638" s="81"/>
      <c r="H638" s="82"/>
      <c r="K638" s="49"/>
      <c r="L638" s="50"/>
      <c r="O638" s="51"/>
    </row>
    <row r="639">
      <c r="C639" s="80"/>
      <c r="F639" s="81"/>
      <c r="G639" s="81"/>
      <c r="H639" s="82"/>
      <c r="K639" s="49"/>
      <c r="L639" s="50"/>
      <c r="O639" s="51"/>
    </row>
    <row r="640">
      <c r="C640" s="80"/>
      <c r="F640" s="81"/>
      <c r="G640" s="81"/>
      <c r="H640" s="82"/>
      <c r="K640" s="49"/>
      <c r="L640" s="50"/>
      <c r="O640" s="51"/>
    </row>
    <row r="641">
      <c r="C641" s="80"/>
      <c r="F641" s="81"/>
      <c r="G641" s="81"/>
      <c r="H641" s="82"/>
      <c r="K641" s="49"/>
      <c r="L641" s="50"/>
      <c r="O641" s="51"/>
    </row>
    <row r="642">
      <c r="C642" s="80"/>
      <c r="F642" s="81"/>
      <c r="G642" s="81"/>
      <c r="H642" s="82"/>
      <c r="K642" s="49"/>
      <c r="L642" s="50"/>
      <c r="O642" s="51"/>
    </row>
    <row r="643">
      <c r="C643" s="80"/>
      <c r="F643" s="81"/>
      <c r="G643" s="81"/>
      <c r="H643" s="82"/>
      <c r="K643" s="49"/>
      <c r="L643" s="50"/>
      <c r="O643" s="51"/>
    </row>
    <row r="644">
      <c r="C644" s="80"/>
      <c r="F644" s="81"/>
      <c r="G644" s="81"/>
      <c r="H644" s="82"/>
      <c r="K644" s="49"/>
      <c r="L644" s="50"/>
      <c r="O644" s="51"/>
    </row>
    <row r="645">
      <c r="C645" s="80"/>
      <c r="F645" s="81"/>
      <c r="G645" s="81"/>
      <c r="H645" s="82"/>
      <c r="K645" s="49"/>
      <c r="L645" s="50"/>
      <c r="O645" s="51"/>
    </row>
    <row r="646">
      <c r="C646" s="80"/>
      <c r="F646" s="81"/>
      <c r="G646" s="81"/>
      <c r="H646" s="82"/>
      <c r="K646" s="49"/>
      <c r="L646" s="50"/>
      <c r="O646" s="51"/>
    </row>
    <row r="647">
      <c r="C647" s="80"/>
      <c r="F647" s="81"/>
      <c r="G647" s="81"/>
      <c r="H647" s="82"/>
      <c r="K647" s="49"/>
      <c r="L647" s="50"/>
      <c r="O647" s="51"/>
    </row>
    <row r="648">
      <c r="C648" s="80"/>
      <c r="F648" s="81"/>
      <c r="G648" s="81"/>
      <c r="H648" s="82"/>
      <c r="K648" s="49"/>
      <c r="L648" s="50"/>
      <c r="O648" s="51"/>
    </row>
    <row r="649">
      <c r="C649" s="80"/>
      <c r="F649" s="81"/>
      <c r="G649" s="81"/>
      <c r="H649" s="82"/>
      <c r="K649" s="49"/>
      <c r="L649" s="50"/>
      <c r="O649" s="51"/>
    </row>
    <row r="650">
      <c r="C650" s="80"/>
      <c r="F650" s="81"/>
      <c r="G650" s="81"/>
      <c r="H650" s="82"/>
      <c r="K650" s="49"/>
      <c r="L650" s="50"/>
      <c r="O650" s="51"/>
    </row>
    <row r="651">
      <c r="C651" s="80"/>
      <c r="F651" s="81"/>
      <c r="G651" s="81"/>
      <c r="H651" s="82"/>
      <c r="K651" s="49"/>
      <c r="L651" s="50"/>
      <c r="O651" s="51"/>
    </row>
    <row r="652">
      <c r="C652" s="80"/>
      <c r="F652" s="81"/>
      <c r="G652" s="81"/>
      <c r="H652" s="82"/>
      <c r="K652" s="49"/>
      <c r="L652" s="50"/>
      <c r="O652" s="51"/>
    </row>
    <row r="653">
      <c r="C653" s="80"/>
      <c r="F653" s="81"/>
      <c r="G653" s="81"/>
      <c r="H653" s="82"/>
      <c r="K653" s="49"/>
      <c r="L653" s="50"/>
      <c r="O653" s="51"/>
    </row>
    <row r="654">
      <c r="C654" s="80"/>
      <c r="F654" s="81"/>
      <c r="G654" s="81"/>
      <c r="H654" s="82"/>
      <c r="K654" s="49"/>
      <c r="L654" s="50"/>
      <c r="O654" s="51"/>
    </row>
    <row r="655">
      <c r="C655" s="80"/>
      <c r="F655" s="81"/>
      <c r="G655" s="81"/>
      <c r="H655" s="82"/>
      <c r="K655" s="49"/>
      <c r="L655" s="50"/>
      <c r="O655" s="51"/>
    </row>
    <row r="656">
      <c r="C656" s="80"/>
      <c r="F656" s="81"/>
      <c r="G656" s="81"/>
      <c r="H656" s="82"/>
      <c r="K656" s="49"/>
      <c r="L656" s="50"/>
      <c r="O656" s="51"/>
    </row>
    <row r="657">
      <c r="C657" s="80"/>
      <c r="F657" s="81"/>
      <c r="G657" s="81"/>
      <c r="H657" s="82"/>
      <c r="K657" s="49"/>
      <c r="L657" s="50"/>
      <c r="O657" s="51"/>
    </row>
    <row r="658">
      <c r="C658" s="80"/>
      <c r="F658" s="81"/>
      <c r="G658" s="81"/>
      <c r="H658" s="82"/>
      <c r="K658" s="49"/>
      <c r="L658" s="50"/>
      <c r="O658" s="51"/>
    </row>
    <row r="659">
      <c r="C659" s="80"/>
      <c r="F659" s="81"/>
      <c r="G659" s="81"/>
      <c r="H659" s="82"/>
      <c r="K659" s="49"/>
      <c r="L659" s="50"/>
      <c r="O659" s="51"/>
    </row>
    <row r="660">
      <c r="C660" s="80"/>
      <c r="F660" s="81"/>
      <c r="G660" s="81"/>
      <c r="H660" s="82"/>
      <c r="K660" s="49"/>
      <c r="L660" s="50"/>
      <c r="O660" s="51"/>
    </row>
    <row r="661">
      <c r="C661" s="80"/>
      <c r="F661" s="81"/>
      <c r="G661" s="81"/>
      <c r="H661" s="82"/>
      <c r="K661" s="49"/>
      <c r="L661" s="50"/>
      <c r="O661" s="51"/>
    </row>
    <row r="662">
      <c r="C662" s="80"/>
      <c r="F662" s="81"/>
      <c r="G662" s="81"/>
      <c r="H662" s="82"/>
      <c r="K662" s="49"/>
      <c r="L662" s="50"/>
      <c r="O662" s="51"/>
    </row>
    <row r="663">
      <c r="C663" s="80"/>
      <c r="F663" s="81"/>
      <c r="G663" s="81"/>
      <c r="H663" s="82"/>
      <c r="K663" s="49"/>
      <c r="L663" s="50"/>
      <c r="O663" s="51"/>
    </row>
    <row r="664">
      <c r="C664" s="80"/>
      <c r="F664" s="81"/>
      <c r="G664" s="81"/>
      <c r="H664" s="82"/>
      <c r="K664" s="49"/>
      <c r="L664" s="50"/>
      <c r="O664" s="51"/>
    </row>
    <row r="665">
      <c r="C665" s="80"/>
      <c r="F665" s="81"/>
      <c r="G665" s="81"/>
      <c r="H665" s="82"/>
      <c r="K665" s="49"/>
      <c r="L665" s="50"/>
      <c r="O665" s="51"/>
    </row>
    <row r="666">
      <c r="C666" s="80"/>
      <c r="F666" s="81"/>
      <c r="G666" s="81"/>
      <c r="H666" s="82"/>
      <c r="K666" s="49"/>
      <c r="L666" s="50"/>
      <c r="O666" s="51"/>
    </row>
    <row r="667">
      <c r="C667" s="80"/>
      <c r="F667" s="81"/>
      <c r="G667" s="81"/>
      <c r="H667" s="82"/>
      <c r="K667" s="49"/>
      <c r="L667" s="50"/>
      <c r="O667" s="51"/>
    </row>
    <row r="668">
      <c r="C668" s="80"/>
      <c r="F668" s="81"/>
      <c r="G668" s="81"/>
      <c r="H668" s="82"/>
      <c r="K668" s="49"/>
      <c r="L668" s="50"/>
      <c r="O668" s="51"/>
    </row>
    <row r="669">
      <c r="C669" s="80"/>
      <c r="F669" s="81"/>
      <c r="G669" s="81"/>
      <c r="H669" s="82"/>
      <c r="K669" s="49"/>
      <c r="L669" s="50"/>
      <c r="O669" s="51"/>
    </row>
    <row r="670">
      <c r="C670" s="80"/>
      <c r="F670" s="81"/>
      <c r="G670" s="81"/>
      <c r="H670" s="82"/>
      <c r="K670" s="49"/>
      <c r="L670" s="50"/>
      <c r="O670" s="51"/>
    </row>
    <row r="671">
      <c r="C671" s="80"/>
      <c r="F671" s="81"/>
      <c r="G671" s="81"/>
      <c r="H671" s="82"/>
      <c r="K671" s="49"/>
      <c r="L671" s="50"/>
      <c r="O671" s="51"/>
    </row>
    <row r="672">
      <c r="C672" s="80"/>
      <c r="F672" s="81"/>
      <c r="G672" s="81"/>
      <c r="H672" s="82"/>
      <c r="K672" s="49"/>
      <c r="L672" s="50"/>
      <c r="O672" s="51"/>
    </row>
    <row r="673">
      <c r="C673" s="80"/>
      <c r="F673" s="81"/>
      <c r="G673" s="81"/>
      <c r="H673" s="82"/>
      <c r="K673" s="49"/>
      <c r="L673" s="50"/>
      <c r="O673" s="51"/>
    </row>
    <row r="674">
      <c r="C674" s="80"/>
      <c r="F674" s="81"/>
      <c r="G674" s="81"/>
      <c r="H674" s="82"/>
      <c r="K674" s="49"/>
      <c r="L674" s="50"/>
      <c r="O674" s="51"/>
    </row>
    <row r="675">
      <c r="C675" s="80"/>
      <c r="F675" s="81"/>
      <c r="G675" s="81"/>
      <c r="H675" s="82"/>
      <c r="K675" s="49"/>
      <c r="L675" s="50"/>
      <c r="O675" s="51"/>
    </row>
    <row r="676">
      <c r="C676" s="80"/>
      <c r="F676" s="81"/>
      <c r="G676" s="81"/>
      <c r="H676" s="82"/>
      <c r="K676" s="49"/>
      <c r="L676" s="50"/>
      <c r="O676" s="51"/>
    </row>
    <row r="677">
      <c r="C677" s="80"/>
      <c r="F677" s="81"/>
      <c r="G677" s="81"/>
      <c r="H677" s="82"/>
      <c r="K677" s="49"/>
      <c r="L677" s="50"/>
      <c r="O677" s="51"/>
    </row>
    <row r="678">
      <c r="C678" s="80"/>
      <c r="F678" s="81"/>
      <c r="G678" s="81"/>
      <c r="H678" s="82"/>
      <c r="K678" s="49"/>
      <c r="L678" s="50"/>
      <c r="O678" s="51"/>
    </row>
    <row r="679">
      <c r="C679" s="80"/>
      <c r="F679" s="81"/>
      <c r="G679" s="81"/>
      <c r="H679" s="82"/>
      <c r="K679" s="49"/>
      <c r="L679" s="50"/>
      <c r="O679" s="51"/>
    </row>
    <row r="680">
      <c r="C680" s="80"/>
      <c r="F680" s="81"/>
      <c r="G680" s="81"/>
      <c r="H680" s="82"/>
      <c r="K680" s="49"/>
      <c r="L680" s="50"/>
      <c r="O680" s="51"/>
    </row>
    <row r="681">
      <c r="C681" s="80"/>
      <c r="F681" s="81"/>
      <c r="G681" s="81"/>
      <c r="H681" s="82"/>
      <c r="K681" s="49"/>
      <c r="L681" s="50"/>
      <c r="O681" s="51"/>
    </row>
    <row r="682">
      <c r="C682" s="80"/>
      <c r="F682" s="81"/>
      <c r="G682" s="81"/>
      <c r="H682" s="82"/>
      <c r="K682" s="49"/>
      <c r="L682" s="50"/>
      <c r="O682" s="51"/>
    </row>
    <row r="683">
      <c r="C683" s="80"/>
      <c r="F683" s="81"/>
      <c r="G683" s="81"/>
      <c r="H683" s="82"/>
      <c r="K683" s="49"/>
      <c r="L683" s="50"/>
      <c r="O683" s="51"/>
    </row>
    <row r="684">
      <c r="C684" s="80"/>
      <c r="F684" s="81"/>
      <c r="G684" s="81"/>
      <c r="H684" s="82"/>
      <c r="K684" s="49"/>
      <c r="L684" s="50"/>
      <c r="O684" s="51"/>
    </row>
    <row r="685">
      <c r="C685" s="80"/>
      <c r="F685" s="81"/>
      <c r="G685" s="81"/>
      <c r="H685" s="82"/>
      <c r="K685" s="49"/>
      <c r="L685" s="50"/>
      <c r="O685" s="51"/>
    </row>
    <row r="686">
      <c r="C686" s="80"/>
      <c r="F686" s="81"/>
      <c r="G686" s="81"/>
      <c r="H686" s="82"/>
      <c r="K686" s="49"/>
      <c r="L686" s="50"/>
      <c r="O686" s="51"/>
    </row>
    <row r="687">
      <c r="C687" s="80"/>
      <c r="F687" s="81"/>
      <c r="G687" s="81"/>
      <c r="H687" s="82"/>
      <c r="K687" s="49"/>
      <c r="L687" s="50"/>
      <c r="O687" s="51"/>
    </row>
    <row r="688">
      <c r="C688" s="80"/>
      <c r="F688" s="81"/>
      <c r="G688" s="81"/>
      <c r="H688" s="82"/>
      <c r="K688" s="49"/>
      <c r="L688" s="50"/>
      <c r="O688" s="51"/>
    </row>
    <row r="689">
      <c r="C689" s="80"/>
      <c r="F689" s="81"/>
      <c r="G689" s="81"/>
      <c r="H689" s="82"/>
      <c r="K689" s="49"/>
      <c r="L689" s="50"/>
      <c r="O689" s="51"/>
    </row>
    <row r="690">
      <c r="C690" s="80"/>
      <c r="F690" s="81"/>
      <c r="G690" s="81"/>
      <c r="H690" s="82"/>
      <c r="K690" s="49"/>
      <c r="L690" s="50"/>
      <c r="O690" s="51"/>
    </row>
    <row r="691">
      <c r="C691" s="80"/>
      <c r="F691" s="81"/>
      <c r="G691" s="81"/>
      <c r="H691" s="82"/>
      <c r="K691" s="49"/>
      <c r="L691" s="50"/>
      <c r="O691" s="51"/>
    </row>
    <row r="692">
      <c r="C692" s="80"/>
      <c r="F692" s="81"/>
      <c r="G692" s="81"/>
      <c r="H692" s="82"/>
      <c r="K692" s="49"/>
      <c r="L692" s="50"/>
      <c r="O692" s="51"/>
    </row>
    <row r="693">
      <c r="C693" s="80"/>
      <c r="F693" s="81"/>
      <c r="G693" s="81"/>
      <c r="H693" s="82"/>
      <c r="K693" s="49"/>
      <c r="L693" s="50"/>
      <c r="O693" s="51"/>
    </row>
    <row r="694">
      <c r="C694" s="80"/>
      <c r="F694" s="81"/>
      <c r="G694" s="81"/>
      <c r="H694" s="82"/>
      <c r="K694" s="49"/>
      <c r="L694" s="50"/>
      <c r="O694" s="51"/>
    </row>
    <row r="695">
      <c r="C695" s="80"/>
      <c r="F695" s="81"/>
      <c r="G695" s="81"/>
      <c r="H695" s="82"/>
      <c r="K695" s="49"/>
      <c r="L695" s="50"/>
      <c r="O695" s="51"/>
    </row>
    <row r="696">
      <c r="C696" s="80"/>
      <c r="F696" s="81"/>
      <c r="G696" s="81"/>
      <c r="H696" s="82"/>
      <c r="K696" s="49"/>
      <c r="L696" s="50"/>
      <c r="O696" s="51"/>
    </row>
    <row r="697">
      <c r="C697" s="80"/>
      <c r="F697" s="81"/>
      <c r="G697" s="81"/>
      <c r="H697" s="82"/>
      <c r="K697" s="49"/>
      <c r="L697" s="50"/>
      <c r="O697" s="51"/>
    </row>
    <row r="698">
      <c r="C698" s="80"/>
      <c r="F698" s="81"/>
      <c r="G698" s="81"/>
      <c r="H698" s="82"/>
      <c r="K698" s="49"/>
      <c r="L698" s="50"/>
      <c r="O698" s="51"/>
    </row>
    <row r="699">
      <c r="C699" s="80"/>
      <c r="F699" s="81"/>
      <c r="G699" s="81"/>
      <c r="H699" s="82"/>
      <c r="K699" s="49"/>
      <c r="L699" s="50"/>
      <c r="O699" s="51"/>
    </row>
    <row r="700">
      <c r="C700" s="80"/>
      <c r="F700" s="81"/>
      <c r="G700" s="81"/>
      <c r="H700" s="82"/>
      <c r="K700" s="49"/>
      <c r="L700" s="50"/>
      <c r="O700" s="51"/>
    </row>
    <row r="701">
      <c r="C701" s="80"/>
      <c r="F701" s="81"/>
      <c r="G701" s="81"/>
      <c r="H701" s="82"/>
      <c r="K701" s="49"/>
      <c r="L701" s="50"/>
      <c r="O701" s="51"/>
    </row>
    <row r="702">
      <c r="C702" s="80"/>
      <c r="F702" s="81"/>
      <c r="G702" s="81"/>
      <c r="H702" s="82"/>
      <c r="K702" s="49"/>
      <c r="L702" s="50"/>
      <c r="O702" s="51"/>
    </row>
    <row r="703">
      <c r="C703" s="80"/>
      <c r="F703" s="81"/>
      <c r="G703" s="81"/>
      <c r="H703" s="82"/>
      <c r="K703" s="49"/>
      <c r="L703" s="50"/>
      <c r="O703" s="51"/>
    </row>
    <row r="704">
      <c r="C704" s="80"/>
      <c r="F704" s="81"/>
      <c r="G704" s="81"/>
      <c r="H704" s="82"/>
      <c r="K704" s="49"/>
      <c r="L704" s="50"/>
      <c r="O704" s="51"/>
    </row>
    <row r="705">
      <c r="C705" s="80"/>
      <c r="F705" s="81"/>
      <c r="G705" s="81"/>
      <c r="H705" s="82"/>
      <c r="K705" s="49"/>
      <c r="L705" s="50"/>
      <c r="O705" s="51"/>
    </row>
    <row r="706">
      <c r="C706" s="80"/>
      <c r="F706" s="81"/>
      <c r="G706" s="81"/>
      <c r="H706" s="82"/>
      <c r="K706" s="49"/>
      <c r="L706" s="50"/>
      <c r="O706" s="51"/>
    </row>
    <row r="707">
      <c r="C707" s="80"/>
      <c r="F707" s="81"/>
      <c r="G707" s="81"/>
      <c r="H707" s="82"/>
      <c r="K707" s="49"/>
      <c r="L707" s="50"/>
      <c r="O707" s="51"/>
    </row>
    <row r="708">
      <c r="C708" s="80"/>
      <c r="F708" s="81"/>
      <c r="G708" s="81"/>
      <c r="H708" s="82"/>
      <c r="K708" s="49"/>
      <c r="L708" s="50"/>
      <c r="O708" s="51"/>
    </row>
    <row r="709">
      <c r="C709" s="80"/>
      <c r="F709" s="81"/>
      <c r="G709" s="81"/>
      <c r="H709" s="82"/>
      <c r="K709" s="49"/>
      <c r="L709" s="50"/>
      <c r="O709" s="51"/>
    </row>
    <row r="710">
      <c r="C710" s="80"/>
      <c r="F710" s="81"/>
      <c r="G710" s="81"/>
      <c r="H710" s="82"/>
      <c r="K710" s="49"/>
      <c r="L710" s="50"/>
      <c r="O710" s="51"/>
    </row>
    <row r="711">
      <c r="C711" s="80"/>
      <c r="F711" s="81"/>
      <c r="G711" s="81"/>
      <c r="H711" s="82"/>
      <c r="K711" s="49"/>
      <c r="L711" s="50"/>
      <c r="O711" s="51"/>
    </row>
    <row r="712">
      <c r="C712" s="80"/>
      <c r="F712" s="81"/>
      <c r="G712" s="81"/>
      <c r="H712" s="82"/>
      <c r="K712" s="49"/>
      <c r="L712" s="50"/>
      <c r="O712" s="51"/>
    </row>
    <row r="713">
      <c r="C713" s="80"/>
      <c r="F713" s="81"/>
      <c r="G713" s="81"/>
      <c r="H713" s="82"/>
      <c r="K713" s="49"/>
      <c r="L713" s="50"/>
      <c r="O713" s="51"/>
    </row>
    <row r="714">
      <c r="C714" s="80"/>
      <c r="F714" s="81"/>
      <c r="G714" s="81"/>
      <c r="H714" s="82"/>
      <c r="K714" s="49"/>
      <c r="L714" s="50"/>
      <c r="O714" s="51"/>
    </row>
    <row r="715">
      <c r="C715" s="80"/>
      <c r="F715" s="81"/>
      <c r="G715" s="81"/>
      <c r="H715" s="82"/>
      <c r="K715" s="49"/>
      <c r="L715" s="50"/>
      <c r="O715" s="51"/>
    </row>
    <row r="716">
      <c r="C716" s="80"/>
      <c r="F716" s="81"/>
      <c r="G716" s="81"/>
      <c r="H716" s="82"/>
      <c r="K716" s="49"/>
      <c r="L716" s="50"/>
      <c r="O716" s="51"/>
    </row>
    <row r="717">
      <c r="C717" s="80"/>
      <c r="F717" s="81"/>
      <c r="G717" s="81"/>
      <c r="H717" s="82"/>
      <c r="K717" s="49"/>
      <c r="L717" s="50"/>
      <c r="O717" s="51"/>
    </row>
    <row r="718">
      <c r="C718" s="80"/>
      <c r="F718" s="81"/>
      <c r="G718" s="81"/>
      <c r="H718" s="82"/>
      <c r="K718" s="49"/>
      <c r="L718" s="50"/>
      <c r="O718" s="51"/>
    </row>
    <row r="719">
      <c r="C719" s="80"/>
      <c r="F719" s="81"/>
      <c r="G719" s="81"/>
      <c r="H719" s="82"/>
      <c r="K719" s="49"/>
      <c r="L719" s="50"/>
      <c r="O719" s="51"/>
    </row>
    <row r="720">
      <c r="C720" s="80"/>
      <c r="F720" s="81"/>
      <c r="G720" s="81"/>
      <c r="H720" s="82"/>
      <c r="K720" s="49"/>
      <c r="L720" s="50"/>
      <c r="O720" s="51"/>
    </row>
    <row r="721">
      <c r="C721" s="80"/>
      <c r="F721" s="81"/>
      <c r="G721" s="81"/>
      <c r="H721" s="82"/>
      <c r="K721" s="49"/>
      <c r="L721" s="50"/>
      <c r="O721" s="51"/>
    </row>
    <row r="722">
      <c r="C722" s="80"/>
      <c r="F722" s="81"/>
      <c r="G722" s="81"/>
      <c r="H722" s="82"/>
      <c r="K722" s="49"/>
      <c r="L722" s="50"/>
      <c r="O722" s="51"/>
    </row>
    <row r="723">
      <c r="C723" s="80"/>
      <c r="F723" s="81"/>
      <c r="G723" s="81"/>
      <c r="H723" s="82"/>
      <c r="K723" s="49"/>
      <c r="L723" s="50"/>
      <c r="O723" s="51"/>
    </row>
    <row r="724">
      <c r="C724" s="80"/>
      <c r="F724" s="81"/>
      <c r="G724" s="81"/>
      <c r="H724" s="82"/>
      <c r="K724" s="49"/>
      <c r="L724" s="50"/>
      <c r="O724" s="51"/>
    </row>
    <row r="725">
      <c r="C725" s="80"/>
      <c r="F725" s="81"/>
      <c r="G725" s="81"/>
      <c r="H725" s="82"/>
      <c r="K725" s="49"/>
      <c r="L725" s="50"/>
      <c r="O725" s="51"/>
    </row>
    <row r="726">
      <c r="C726" s="80"/>
      <c r="F726" s="81"/>
      <c r="G726" s="81"/>
      <c r="H726" s="82"/>
      <c r="K726" s="49"/>
      <c r="L726" s="50"/>
      <c r="O726" s="51"/>
    </row>
    <row r="727">
      <c r="C727" s="80"/>
      <c r="F727" s="81"/>
      <c r="G727" s="81"/>
      <c r="H727" s="82"/>
      <c r="K727" s="49"/>
      <c r="L727" s="50"/>
      <c r="O727" s="51"/>
    </row>
    <row r="728">
      <c r="C728" s="80"/>
      <c r="F728" s="81"/>
      <c r="G728" s="81"/>
      <c r="H728" s="82"/>
      <c r="K728" s="49"/>
      <c r="L728" s="50"/>
      <c r="O728" s="51"/>
    </row>
    <row r="729">
      <c r="C729" s="80"/>
      <c r="F729" s="81"/>
      <c r="G729" s="81"/>
      <c r="H729" s="82"/>
      <c r="K729" s="49"/>
      <c r="L729" s="50"/>
      <c r="O729" s="51"/>
    </row>
    <row r="730">
      <c r="C730" s="80"/>
      <c r="F730" s="81"/>
      <c r="G730" s="81"/>
      <c r="H730" s="82"/>
      <c r="K730" s="49"/>
      <c r="L730" s="50"/>
      <c r="O730" s="51"/>
    </row>
    <row r="731">
      <c r="C731" s="80"/>
      <c r="F731" s="81"/>
      <c r="G731" s="81"/>
      <c r="H731" s="82"/>
      <c r="K731" s="49"/>
      <c r="L731" s="50"/>
      <c r="O731" s="51"/>
    </row>
    <row r="732">
      <c r="C732" s="80"/>
      <c r="F732" s="81"/>
      <c r="G732" s="81"/>
      <c r="H732" s="82"/>
      <c r="K732" s="49"/>
      <c r="L732" s="50"/>
      <c r="O732" s="51"/>
    </row>
    <row r="733">
      <c r="C733" s="80"/>
      <c r="F733" s="81"/>
      <c r="G733" s="81"/>
      <c r="H733" s="82"/>
      <c r="K733" s="49"/>
      <c r="L733" s="50"/>
      <c r="O733" s="51"/>
    </row>
    <row r="734">
      <c r="C734" s="80"/>
      <c r="F734" s="81"/>
      <c r="G734" s="81"/>
      <c r="H734" s="82"/>
      <c r="K734" s="49"/>
      <c r="L734" s="50"/>
      <c r="O734" s="51"/>
    </row>
    <row r="735">
      <c r="C735" s="80"/>
      <c r="F735" s="81"/>
      <c r="G735" s="81"/>
      <c r="H735" s="82"/>
      <c r="K735" s="49"/>
      <c r="L735" s="50"/>
      <c r="O735" s="51"/>
    </row>
    <row r="736">
      <c r="C736" s="80"/>
      <c r="F736" s="81"/>
      <c r="G736" s="81"/>
      <c r="H736" s="82"/>
      <c r="K736" s="49"/>
      <c r="L736" s="50"/>
      <c r="O736" s="51"/>
    </row>
    <row r="737">
      <c r="C737" s="80"/>
      <c r="F737" s="81"/>
      <c r="G737" s="81"/>
      <c r="H737" s="82"/>
      <c r="K737" s="49"/>
      <c r="L737" s="50"/>
      <c r="O737" s="51"/>
    </row>
    <row r="738">
      <c r="C738" s="80"/>
      <c r="F738" s="81"/>
      <c r="G738" s="81"/>
      <c r="H738" s="82"/>
      <c r="K738" s="49"/>
      <c r="L738" s="50"/>
      <c r="O738" s="51"/>
    </row>
    <row r="739">
      <c r="C739" s="80"/>
      <c r="F739" s="81"/>
      <c r="G739" s="81"/>
      <c r="H739" s="82"/>
      <c r="K739" s="49"/>
      <c r="L739" s="50"/>
      <c r="O739" s="51"/>
    </row>
    <row r="740">
      <c r="C740" s="80"/>
      <c r="F740" s="81"/>
      <c r="G740" s="81"/>
      <c r="H740" s="82"/>
      <c r="K740" s="49"/>
      <c r="L740" s="50"/>
      <c r="O740" s="51"/>
    </row>
    <row r="741">
      <c r="C741" s="80"/>
      <c r="F741" s="81"/>
      <c r="G741" s="81"/>
      <c r="H741" s="82"/>
      <c r="K741" s="49"/>
      <c r="L741" s="50"/>
      <c r="O741" s="51"/>
    </row>
    <row r="742">
      <c r="C742" s="80"/>
      <c r="F742" s="81"/>
      <c r="G742" s="81"/>
      <c r="H742" s="82"/>
      <c r="K742" s="49"/>
      <c r="L742" s="50"/>
      <c r="O742" s="51"/>
    </row>
    <row r="743">
      <c r="C743" s="80"/>
      <c r="F743" s="81"/>
      <c r="G743" s="81"/>
      <c r="H743" s="82"/>
      <c r="K743" s="49"/>
      <c r="L743" s="50"/>
      <c r="O743" s="51"/>
    </row>
    <row r="744">
      <c r="C744" s="80"/>
      <c r="F744" s="81"/>
      <c r="G744" s="81"/>
      <c r="H744" s="82"/>
      <c r="K744" s="49"/>
      <c r="L744" s="50"/>
      <c r="O744" s="51"/>
    </row>
    <row r="745">
      <c r="C745" s="80"/>
      <c r="F745" s="81"/>
      <c r="G745" s="81"/>
      <c r="H745" s="82"/>
      <c r="K745" s="49"/>
      <c r="L745" s="50"/>
      <c r="O745" s="51"/>
    </row>
    <row r="746">
      <c r="C746" s="80"/>
      <c r="F746" s="81"/>
      <c r="G746" s="81"/>
      <c r="H746" s="82"/>
      <c r="K746" s="49"/>
      <c r="L746" s="50"/>
      <c r="O746" s="51"/>
    </row>
    <row r="747">
      <c r="C747" s="80"/>
      <c r="F747" s="81"/>
      <c r="G747" s="81"/>
      <c r="H747" s="82"/>
      <c r="K747" s="49"/>
      <c r="L747" s="50"/>
      <c r="O747" s="51"/>
    </row>
    <row r="748">
      <c r="C748" s="80"/>
      <c r="F748" s="81"/>
      <c r="G748" s="81"/>
      <c r="H748" s="82"/>
      <c r="K748" s="49"/>
      <c r="L748" s="50"/>
      <c r="O748" s="51"/>
    </row>
    <row r="749">
      <c r="C749" s="80"/>
      <c r="F749" s="81"/>
      <c r="G749" s="81"/>
      <c r="H749" s="82"/>
      <c r="K749" s="49"/>
      <c r="L749" s="50"/>
      <c r="O749" s="51"/>
    </row>
    <row r="750">
      <c r="C750" s="80"/>
      <c r="F750" s="81"/>
      <c r="G750" s="81"/>
      <c r="H750" s="82"/>
      <c r="K750" s="49"/>
      <c r="L750" s="50"/>
      <c r="O750" s="51"/>
    </row>
    <row r="751">
      <c r="C751" s="80"/>
      <c r="F751" s="81"/>
      <c r="G751" s="81"/>
      <c r="H751" s="82"/>
      <c r="K751" s="49"/>
      <c r="L751" s="50"/>
      <c r="O751" s="51"/>
    </row>
    <row r="752">
      <c r="C752" s="80"/>
      <c r="F752" s="81"/>
      <c r="G752" s="81"/>
      <c r="H752" s="82"/>
      <c r="K752" s="49"/>
      <c r="L752" s="50"/>
      <c r="O752" s="51"/>
    </row>
    <row r="753">
      <c r="C753" s="80"/>
      <c r="F753" s="81"/>
      <c r="G753" s="81"/>
      <c r="H753" s="82"/>
      <c r="K753" s="49"/>
      <c r="L753" s="50"/>
      <c r="O753" s="51"/>
    </row>
    <row r="754">
      <c r="C754" s="80"/>
      <c r="F754" s="81"/>
      <c r="G754" s="81"/>
      <c r="H754" s="82"/>
      <c r="K754" s="49"/>
      <c r="L754" s="50"/>
      <c r="O754" s="51"/>
    </row>
    <row r="755">
      <c r="C755" s="80"/>
      <c r="F755" s="81"/>
      <c r="G755" s="81"/>
      <c r="H755" s="82"/>
      <c r="K755" s="49"/>
      <c r="L755" s="50"/>
      <c r="O755" s="51"/>
    </row>
    <row r="756">
      <c r="C756" s="80"/>
      <c r="F756" s="81"/>
      <c r="G756" s="81"/>
      <c r="H756" s="82"/>
      <c r="K756" s="49"/>
      <c r="L756" s="50"/>
      <c r="O756" s="51"/>
    </row>
    <row r="757">
      <c r="C757" s="80"/>
      <c r="F757" s="81"/>
      <c r="G757" s="81"/>
      <c r="H757" s="82"/>
      <c r="K757" s="49"/>
      <c r="L757" s="50"/>
      <c r="O757" s="51"/>
    </row>
    <row r="758">
      <c r="C758" s="80"/>
      <c r="F758" s="81"/>
      <c r="G758" s="81"/>
      <c r="H758" s="82"/>
      <c r="K758" s="49"/>
      <c r="L758" s="50"/>
      <c r="O758" s="51"/>
    </row>
    <row r="759">
      <c r="C759" s="80"/>
      <c r="F759" s="81"/>
      <c r="G759" s="81"/>
      <c r="H759" s="82"/>
      <c r="K759" s="49"/>
      <c r="L759" s="50"/>
      <c r="O759" s="51"/>
    </row>
    <row r="760">
      <c r="C760" s="80"/>
      <c r="F760" s="81"/>
      <c r="G760" s="81"/>
      <c r="H760" s="82"/>
      <c r="K760" s="49"/>
      <c r="L760" s="50"/>
      <c r="O760" s="51"/>
    </row>
    <row r="761">
      <c r="C761" s="80"/>
      <c r="F761" s="81"/>
      <c r="G761" s="81"/>
      <c r="H761" s="82"/>
      <c r="K761" s="49"/>
      <c r="L761" s="50"/>
      <c r="O761" s="51"/>
    </row>
    <row r="762">
      <c r="C762" s="80"/>
      <c r="F762" s="81"/>
      <c r="G762" s="81"/>
      <c r="H762" s="82"/>
      <c r="K762" s="49"/>
      <c r="L762" s="50"/>
      <c r="O762" s="51"/>
    </row>
    <row r="763">
      <c r="C763" s="80"/>
      <c r="F763" s="81"/>
      <c r="G763" s="81"/>
      <c r="H763" s="82"/>
      <c r="K763" s="49"/>
      <c r="L763" s="50"/>
      <c r="O763" s="51"/>
    </row>
    <row r="764">
      <c r="C764" s="80"/>
      <c r="F764" s="81"/>
      <c r="G764" s="81"/>
      <c r="H764" s="82"/>
      <c r="K764" s="49"/>
      <c r="L764" s="50"/>
      <c r="O764" s="51"/>
    </row>
    <row r="765">
      <c r="C765" s="80"/>
      <c r="F765" s="81"/>
      <c r="G765" s="81"/>
      <c r="H765" s="82"/>
      <c r="K765" s="49"/>
      <c r="L765" s="50"/>
      <c r="O765" s="51"/>
    </row>
    <row r="766">
      <c r="C766" s="80"/>
      <c r="F766" s="81"/>
      <c r="G766" s="81"/>
      <c r="H766" s="82"/>
      <c r="K766" s="49"/>
      <c r="L766" s="50"/>
      <c r="O766" s="51"/>
    </row>
    <row r="767">
      <c r="C767" s="80"/>
      <c r="F767" s="81"/>
      <c r="G767" s="81"/>
      <c r="H767" s="82"/>
      <c r="K767" s="49"/>
      <c r="L767" s="50"/>
      <c r="O767" s="51"/>
    </row>
    <row r="768">
      <c r="C768" s="80"/>
      <c r="F768" s="81"/>
      <c r="G768" s="81"/>
      <c r="H768" s="82"/>
      <c r="K768" s="49"/>
      <c r="L768" s="50"/>
      <c r="O768" s="51"/>
    </row>
    <row r="769">
      <c r="C769" s="80"/>
      <c r="F769" s="81"/>
      <c r="G769" s="81"/>
      <c r="H769" s="82"/>
      <c r="K769" s="49"/>
      <c r="L769" s="50"/>
      <c r="O769" s="51"/>
    </row>
    <row r="770">
      <c r="C770" s="80"/>
      <c r="F770" s="81"/>
      <c r="G770" s="81"/>
      <c r="H770" s="82"/>
      <c r="K770" s="49"/>
      <c r="L770" s="50"/>
      <c r="O770" s="51"/>
    </row>
    <row r="771">
      <c r="C771" s="80"/>
      <c r="F771" s="81"/>
      <c r="G771" s="81"/>
      <c r="H771" s="82"/>
      <c r="K771" s="49"/>
      <c r="L771" s="50"/>
      <c r="O771" s="51"/>
    </row>
    <row r="772">
      <c r="C772" s="80"/>
      <c r="F772" s="81"/>
      <c r="G772" s="81"/>
      <c r="H772" s="82"/>
      <c r="K772" s="49"/>
      <c r="L772" s="50"/>
      <c r="O772" s="51"/>
    </row>
    <row r="773">
      <c r="C773" s="80"/>
      <c r="F773" s="81"/>
      <c r="G773" s="81"/>
      <c r="H773" s="82"/>
      <c r="K773" s="49"/>
      <c r="L773" s="50"/>
      <c r="O773" s="51"/>
    </row>
    <row r="774">
      <c r="C774" s="80"/>
      <c r="F774" s="81"/>
      <c r="G774" s="81"/>
      <c r="H774" s="82"/>
      <c r="K774" s="49"/>
      <c r="L774" s="50"/>
      <c r="O774" s="51"/>
    </row>
    <row r="775">
      <c r="C775" s="80"/>
      <c r="F775" s="81"/>
      <c r="G775" s="81"/>
      <c r="H775" s="82"/>
      <c r="K775" s="49"/>
      <c r="L775" s="50"/>
      <c r="O775" s="51"/>
    </row>
    <row r="776">
      <c r="C776" s="80"/>
      <c r="F776" s="81"/>
      <c r="G776" s="81"/>
      <c r="H776" s="82"/>
      <c r="K776" s="49"/>
      <c r="L776" s="50"/>
      <c r="O776" s="51"/>
    </row>
    <row r="777">
      <c r="C777" s="80"/>
      <c r="F777" s="81"/>
      <c r="G777" s="81"/>
      <c r="H777" s="82"/>
      <c r="K777" s="49"/>
      <c r="L777" s="50"/>
      <c r="O777" s="51"/>
    </row>
    <row r="778">
      <c r="C778" s="80"/>
      <c r="F778" s="81"/>
      <c r="G778" s="81"/>
      <c r="H778" s="82"/>
      <c r="K778" s="49"/>
      <c r="L778" s="50"/>
      <c r="O778" s="51"/>
    </row>
    <row r="779">
      <c r="C779" s="80"/>
      <c r="F779" s="81"/>
      <c r="G779" s="81"/>
      <c r="H779" s="82"/>
      <c r="K779" s="49"/>
      <c r="L779" s="50"/>
      <c r="O779" s="51"/>
    </row>
    <row r="780">
      <c r="C780" s="80"/>
      <c r="F780" s="81"/>
      <c r="G780" s="81"/>
      <c r="H780" s="82"/>
      <c r="K780" s="49"/>
      <c r="L780" s="50"/>
      <c r="O780" s="51"/>
    </row>
    <row r="781">
      <c r="C781" s="80"/>
      <c r="F781" s="81"/>
      <c r="G781" s="81"/>
      <c r="H781" s="82"/>
      <c r="K781" s="49"/>
      <c r="L781" s="50"/>
      <c r="O781" s="51"/>
    </row>
    <row r="782">
      <c r="C782" s="80"/>
      <c r="F782" s="81"/>
      <c r="G782" s="81"/>
      <c r="H782" s="82"/>
      <c r="K782" s="49"/>
      <c r="L782" s="50"/>
      <c r="O782" s="51"/>
    </row>
    <row r="783">
      <c r="C783" s="80"/>
      <c r="F783" s="81"/>
      <c r="G783" s="81"/>
      <c r="H783" s="82"/>
      <c r="K783" s="49"/>
      <c r="L783" s="50"/>
      <c r="O783" s="51"/>
    </row>
    <row r="784">
      <c r="C784" s="80"/>
      <c r="F784" s="81"/>
      <c r="G784" s="81"/>
      <c r="H784" s="82"/>
      <c r="K784" s="49"/>
      <c r="L784" s="50"/>
      <c r="O784" s="51"/>
    </row>
    <row r="785">
      <c r="C785" s="80"/>
      <c r="F785" s="81"/>
      <c r="G785" s="81"/>
      <c r="H785" s="82"/>
      <c r="K785" s="49"/>
      <c r="L785" s="50"/>
      <c r="O785" s="51"/>
    </row>
    <row r="786">
      <c r="C786" s="80"/>
      <c r="F786" s="81"/>
      <c r="G786" s="81"/>
      <c r="H786" s="82"/>
      <c r="K786" s="49"/>
      <c r="L786" s="50"/>
      <c r="O786" s="51"/>
    </row>
    <row r="787">
      <c r="C787" s="80"/>
      <c r="F787" s="81"/>
      <c r="G787" s="81"/>
      <c r="H787" s="82"/>
      <c r="K787" s="49"/>
      <c r="L787" s="50"/>
      <c r="O787" s="51"/>
    </row>
    <row r="788">
      <c r="C788" s="80"/>
      <c r="F788" s="81"/>
      <c r="G788" s="81"/>
      <c r="H788" s="82"/>
      <c r="K788" s="49"/>
      <c r="L788" s="50"/>
      <c r="O788" s="51"/>
    </row>
    <row r="789">
      <c r="C789" s="80"/>
      <c r="F789" s="81"/>
      <c r="G789" s="81"/>
      <c r="H789" s="82"/>
      <c r="K789" s="49"/>
      <c r="L789" s="50"/>
      <c r="O789" s="51"/>
    </row>
    <row r="790">
      <c r="C790" s="80"/>
      <c r="F790" s="81"/>
      <c r="G790" s="81"/>
      <c r="H790" s="82"/>
      <c r="K790" s="49"/>
      <c r="L790" s="50"/>
      <c r="O790" s="51"/>
    </row>
    <row r="791">
      <c r="C791" s="80"/>
      <c r="F791" s="81"/>
      <c r="G791" s="81"/>
      <c r="H791" s="82"/>
      <c r="K791" s="49"/>
      <c r="L791" s="50"/>
      <c r="O791" s="51"/>
    </row>
    <row r="792">
      <c r="C792" s="80"/>
      <c r="F792" s="81"/>
      <c r="G792" s="81"/>
      <c r="H792" s="82"/>
      <c r="K792" s="49"/>
      <c r="L792" s="50"/>
      <c r="O792" s="51"/>
    </row>
    <row r="793">
      <c r="C793" s="80"/>
      <c r="F793" s="81"/>
      <c r="G793" s="81"/>
      <c r="H793" s="82"/>
      <c r="K793" s="49"/>
      <c r="L793" s="50"/>
      <c r="O793" s="51"/>
    </row>
    <row r="794">
      <c r="C794" s="80"/>
      <c r="F794" s="81"/>
      <c r="G794" s="81"/>
      <c r="H794" s="82"/>
      <c r="K794" s="49"/>
      <c r="L794" s="50"/>
      <c r="O794" s="51"/>
    </row>
    <row r="795">
      <c r="C795" s="80"/>
      <c r="F795" s="81"/>
      <c r="G795" s="81"/>
      <c r="H795" s="82"/>
      <c r="K795" s="49"/>
      <c r="L795" s="50"/>
      <c r="O795" s="51"/>
    </row>
    <row r="796">
      <c r="C796" s="80"/>
      <c r="F796" s="81"/>
      <c r="G796" s="81"/>
      <c r="H796" s="82"/>
      <c r="K796" s="49"/>
      <c r="L796" s="50"/>
      <c r="O796" s="51"/>
    </row>
    <row r="797">
      <c r="C797" s="80"/>
      <c r="F797" s="81"/>
      <c r="G797" s="81"/>
      <c r="H797" s="82"/>
      <c r="K797" s="49"/>
      <c r="L797" s="50"/>
      <c r="O797" s="51"/>
    </row>
    <row r="798">
      <c r="C798" s="80"/>
      <c r="F798" s="81"/>
      <c r="G798" s="81"/>
      <c r="H798" s="82"/>
      <c r="K798" s="49"/>
      <c r="L798" s="50"/>
      <c r="O798" s="51"/>
    </row>
    <row r="799">
      <c r="C799" s="80"/>
      <c r="F799" s="81"/>
      <c r="G799" s="81"/>
      <c r="H799" s="82"/>
      <c r="K799" s="49"/>
      <c r="L799" s="50"/>
      <c r="O799" s="51"/>
    </row>
    <row r="800">
      <c r="C800" s="80"/>
      <c r="F800" s="81"/>
      <c r="G800" s="81"/>
      <c r="H800" s="82"/>
      <c r="K800" s="49"/>
      <c r="L800" s="50"/>
      <c r="O800" s="51"/>
    </row>
    <row r="801">
      <c r="C801" s="80"/>
      <c r="F801" s="81"/>
      <c r="G801" s="81"/>
      <c r="H801" s="82"/>
      <c r="K801" s="49"/>
      <c r="L801" s="50"/>
      <c r="O801" s="51"/>
    </row>
    <row r="802">
      <c r="C802" s="80"/>
      <c r="F802" s="81"/>
      <c r="G802" s="81"/>
      <c r="H802" s="82"/>
      <c r="K802" s="49"/>
      <c r="L802" s="50"/>
      <c r="O802" s="51"/>
    </row>
    <row r="803">
      <c r="C803" s="80"/>
      <c r="F803" s="81"/>
      <c r="G803" s="81"/>
      <c r="H803" s="82"/>
      <c r="K803" s="49"/>
      <c r="L803" s="50"/>
      <c r="O803" s="51"/>
    </row>
    <row r="804">
      <c r="C804" s="80"/>
      <c r="F804" s="81"/>
      <c r="G804" s="81"/>
      <c r="H804" s="82"/>
      <c r="K804" s="49"/>
      <c r="L804" s="50"/>
      <c r="O804" s="51"/>
    </row>
    <row r="805">
      <c r="C805" s="80"/>
      <c r="F805" s="81"/>
      <c r="G805" s="81"/>
      <c r="H805" s="82"/>
      <c r="K805" s="49"/>
      <c r="L805" s="50"/>
      <c r="O805" s="51"/>
    </row>
    <row r="806">
      <c r="C806" s="80"/>
      <c r="F806" s="81"/>
      <c r="G806" s="81"/>
      <c r="H806" s="82"/>
      <c r="K806" s="49"/>
      <c r="L806" s="50"/>
      <c r="O806" s="51"/>
    </row>
    <row r="807">
      <c r="C807" s="80"/>
      <c r="F807" s="81"/>
      <c r="G807" s="81"/>
      <c r="H807" s="82"/>
      <c r="K807" s="49"/>
      <c r="L807" s="50"/>
      <c r="O807" s="51"/>
    </row>
    <row r="808">
      <c r="C808" s="80"/>
      <c r="F808" s="81"/>
      <c r="G808" s="81"/>
      <c r="H808" s="82"/>
      <c r="K808" s="49"/>
      <c r="L808" s="50"/>
      <c r="O808" s="51"/>
    </row>
    <row r="809">
      <c r="C809" s="80"/>
      <c r="F809" s="81"/>
      <c r="G809" s="81"/>
      <c r="H809" s="82"/>
      <c r="K809" s="49"/>
      <c r="L809" s="50"/>
      <c r="O809" s="51"/>
    </row>
    <row r="810">
      <c r="C810" s="80"/>
      <c r="F810" s="81"/>
      <c r="G810" s="81"/>
      <c r="H810" s="82"/>
      <c r="K810" s="49"/>
      <c r="L810" s="50"/>
      <c r="O810" s="51"/>
    </row>
    <row r="811">
      <c r="C811" s="80"/>
      <c r="F811" s="81"/>
      <c r="G811" s="81"/>
      <c r="H811" s="82"/>
      <c r="K811" s="49"/>
      <c r="L811" s="50"/>
      <c r="O811" s="51"/>
    </row>
    <row r="812">
      <c r="C812" s="80"/>
      <c r="F812" s="81"/>
      <c r="G812" s="81"/>
      <c r="H812" s="82"/>
      <c r="K812" s="49"/>
      <c r="L812" s="50"/>
      <c r="O812" s="51"/>
    </row>
    <row r="813">
      <c r="C813" s="80"/>
      <c r="F813" s="81"/>
      <c r="G813" s="81"/>
      <c r="H813" s="82"/>
      <c r="K813" s="49"/>
      <c r="L813" s="50"/>
      <c r="O813" s="51"/>
    </row>
    <row r="814">
      <c r="C814" s="80"/>
      <c r="F814" s="81"/>
      <c r="G814" s="81"/>
      <c r="H814" s="82"/>
      <c r="K814" s="49"/>
      <c r="L814" s="50"/>
      <c r="O814" s="51"/>
    </row>
    <row r="815">
      <c r="C815" s="80"/>
      <c r="F815" s="81"/>
      <c r="G815" s="81"/>
      <c r="H815" s="82"/>
      <c r="K815" s="49"/>
      <c r="L815" s="50"/>
      <c r="O815" s="51"/>
    </row>
    <row r="816">
      <c r="C816" s="80"/>
      <c r="F816" s="81"/>
      <c r="G816" s="81"/>
      <c r="H816" s="82"/>
      <c r="K816" s="49"/>
      <c r="L816" s="50"/>
      <c r="O816" s="51"/>
    </row>
    <row r="817">
      <c r="C817" s="80"/>
      <c r="F817" s="81"/>
      <c r="G817" s="81"/>
      <c r="H817" s="82"/>
      <c r="K817" s="49"/>
      <c r="L817" s="50"/>
      <c r="O817" s="51"/>
    </row>
    <row r="818">
      <c r="C818" s="80"/>
      <c r="F818" s="81"/>
      <c r="G818" s="81"/>
      <c r="H818" s="82"/>
      <c r="K818" s="49"/>
      <c r="L818" s="50"/>
      <c r="O818" s="51"/>
    </row>
    <row r="819">
      <c r="C819" s="80"/>
      <c r="F819" s="81"/>
      <c r="G819" s="81"/>
      <c r="H819" s="82"/>
      <c r="K819" s="49"/>
      <c r="L819" s="50"/>
      <c r="O819" s="51"/>
    </row>
    <row r="820">
      <c r="C820" s="80"/>
      <c r="F820" s="81"/>
      <c r="G820" s="81"/>
      <c r="H820" s="82"/>
      <c r="K820" s="49"/>
      <c r="L820" s="50"/>
      <c r="O820" s="51"/>
    </row>
    <row r="821">
      <c r="C821" s="80"/>
      <c r="F821" s="81"/>
      <c r="G821" s="81"/>
      <c r="H821" s="82"/>
      <c r="K821" s="49"/>
      <c r="L821" s="50"/>
      <c r="O821" s="51"/>
    </row>
    <row r="822">
      <c r="C822" s="80"/>
      <c r="F822" s="81"/>
      <c r="G822" s="81"/>
      <c r="H822" s="82"/>
      <c r="K822" s="49"/>
      <c r="L822" s="50"/>
      <c r="O822" s="51"/>
    </row>
    <row r="823">
      <c r="C823" s="80"/>
      <c r="F823" s="81"/>
      <c r="G823" s="81"/>
      <c r="H823" s="82"/>
      <c r="K823" s="49"/>
      <c r="L823" s="50"/>
      <c r="O823" s="51"/>
    </row>
    <row r="824">
      <c r="C824" s="80"/>
      <c r="F824" s="81"/>
      <c r="G824" s="81"/>
      <c r="H824" s="82"/>
      <c r="K824" s="49"/>
      <c r="L824" s="50"/>
      <c r="O824" s="51"/>
    </row>
    <row r="825">
      <c r="C825" s="80"/>
      <c r="F825" s="81"/>
      <c r="G825" s="81"/>
      <c r="H825" s="82"/>
      <c r="K825" s="49"/>
      <c r="L825" s="50"/>
      <c r="O825" s="51"/>
    </row>
    <row r="826">
      <c r="C826" s="80"/>
      <c r="F826" s="81"/>
      <c r="G826" s="81"/>
      <c r="H826" s="82"/>
      <c r="K826" s="49"/>
      <c r="L826" s="50"/>
      <c r="O826" s="51"/>
    </row>
    <row r="827">
      <c r="C827" s="80"/>
      <c r="F827" s="81"/>
      <c r="G827" s="81"/>
      <c r="H827" s="82"/>
      <c r="K827" s="49"/>
      <c r="L827" s="50"/>
      <c r="O827" s="51"/>
    </row>
    <row r="828">
      <c r="C828" s="80"/>
      <c r="F828" s="81"/>
      <c r="G828" s="81"/>
      <c r="H828" s="82"/>
      <c r="K828" s="49"/>
      <c r="L828" s="50"/>
      <c r="O828" s="51"/>
    </row>
    <row r="829">
      <c r="C829" s="80"/>
      <c r="F829" s="81"/>
      <c r="G829" s="81"/>
      <c r="H829" s="82"/>
      <c r="K829" s="49"/>
      <c r="L829" s="50"/>
      <c r="O829" s="51"/>
    </row>
    <row r="830">
      <c r="C830" s="80"/>
      <c r="F830" s="81"/>
      <c r="G830" s="81"/>
      <c r="H830" s="82"/>
      <c r="K830" s="49"/>
      <c r="L830" s="50"/>
      <c r="O830" s="51"/>
    </row>
    <row r="831">
      <c r="C831" s="80"/>
      <c r="F831" s="81"/>
      <c r="G831" s="81"/>
      <c r="H831" s="82"/>
      <c r="K831" s="49"/>
      <c r="L831" s="50"/>
      <c r="O831" s="51"/>
    </row>
    <row r="832">
      <c r="C832" s="80"/>
      <c r="F832" s="81"/>
      <c r="G832" s="81"/>
      <c r="H832" s="82"/>
      <c r="K832" s="49"/>
      <c r="L832" s="50"/>
      <c r="O832" s="51"/>
    </row>
    <row r="833">
      <c r="C833" s="80"/>
      <c r="F833" s="81"/>
      <c r="G833" s="81"/>
      <c r="H833" s="82"/>
      <c r="K833" s="49"/>
      <c r="L833" s="50"/>
      <c r="O833" s="51"/>
    </row>
    <row r="834">
      <c r="C834" s="80"/>
      <c r="F834" s="81"/>
      <c r="G834" s="81"/>
      <c r="H834" s="82"/>
      <c r="K834" s="49"/>
      <c r="L834" s="50"/>
      <c r="O834" s="51"/>
    </row>
    <row r="835">
      <c r="C835" s="80"/>
      <c r="F835" s="81"/>
      <c r="G835" s="81"/>
      <c r="H835" s="82"/>
      <c r="K835" s="49"/>
      <c r="L835" s="50"/>
      <c r="O835" s="51"/>
    </row>
    <row r="836">
      <c r="C836" s="80"/>
      <c r="F836" s="81"/>
      <c r="G836" s="81"/>
      <c r="H836" s="82"/>
      <c r="K836" s="49"/>
      <c r="L836" s="50"/>
      <c r="O836" s="51"/>
    </row>
    <row r="837">
      <c r="C837" s="80"/>
      <c r="F837" s="81"/>
      <c r="G837" s="81"/>
      <c r="H837" s="82"/>
      <c r="K837" s="49"/>
      <c r="L837" s="50"/>
      <c r="O837" s="51"/>
    </row>
    <row r="838">
      <c r="C838" s="80"/>
      <c r="F838" s="81"/>
      <c r="G838" s="81"/>
      <c r="H838" s="82"/>
      <c r="K838" s="49"/>
      <c r="L838" s="50"/>
      <c r="O838" s="51"/>
    </row>
    <row r="839">
      <c r="C839" s="80"/>
      <c r="F839" s="81"/>
      <c r="G839" s="81"/>
      <c r="H839" s="82"/>
      <c r="K839" s="49"/>
      <c r="L839" s="50"/>
      <c r="O839" s="51"/>
    </row>
    <row r="840">
      <c r="C840" s="80"/>
      <c r="F840" s="81"/>
      <c r="G840" s="81"/>
      <c r="H840" s="82"/>
      <c r="K840" s="49"/>
      <c r="L840" s="50"/>
      <c r="O840" s="51"/>
    </row>
    <row r="841">
      <c r="C841" s="80"/>
      <c r="F841" s="81"/>
      <c r="G841" s="81"/>
      <c r="H841" s="82"/>
      <c r="K841" s="49"/>
      <c r="L841" s="50"/>
      <c r="O841" s="51"/>
    </row>
    <row r="842">
      <c r="C842" s="80"/>
      <c r="F842" s="81"/>
      <c r="G842" s="81"/>
      <c r="H842" s="82"/>
      <c r="K842" s="49"/>
      <c r="L842" s="50"/>
      <c r="O842" s="51"/>
    </row>
    <row r="843">
      <c r="C843" s="80"/>
      <c r="F843" s="81"/>
      <c r="G843" s="81"/>
      <c r="H843" s="82"/>
      <c r="K843" s="49"/>
      <c r="L843" s="50"/>
      <c r="O843" s="51"/>
    </row>
    <row r="844">
      <c r="C844" s="80"/>
      <c r="F844" s="81"/>
      <c r="G844" s="81"/>
      <c r="H844" s="82"/>
      <c r="K844" s="49"/>
      <c r="L844" s="50"/>
      <c r="O844" s="51"/>
    </row>
    <row r="845">
      <c r="C845" s="80"/>
      <c r="F845" s="81"/>
      <c r="G845" s="81"/>
      <c r="H845" s="82"/>
      <c r="K845" s="49"/>
      <c r="L845" s="50"/>
      <c r="O845" s="51"/>
    </row>
    <row r="846">
      <c r="C846" s="80"/>
      <c r="F846" s="81"/>
      <c r="G846" s="81"/>
      <c r="H846" s="82"/>
      <c r="K846" s="49"/>
      <c r="L846" s="50"/>
      <c r="O846" s="51"/>
    </row>
    <row r="847">
      <c r="C847" s="80"/>
      <c r="F847" s="81"/>
      <c r="G847" s="81"/>
      <c r="H847" s="82"/>
      <c r="K847" s="49"/>
      <c r="L847" s="50"/>
      <c r="O847" s="51"/>
    </row>
    <row r="848">
      <c r="C848" s="80"/>
      <c r="F848" s="81"/>
      <c r="G848" s="81"/>
      <c r="H848" s="82"/>
      <c r="K848" s="49"/>
      <c r="L848" s="50"/>
      <c r="O848" s="51"/>
    </row>
    <row r="849">
      <c r="C849" s="80"/>
      <c r="F849" s="81"/>
      <c r="G849" s="81"/>
      <c r="H849" s="82"/>
      <c r="K849" s="49"/>
      <c r="L849" s="50"/>
      <c r="O849" s="51"/>
    </row>
    <row r="850">
      <c r="C850" s="80"/>
      <c r="F850" s="81"/>
      <c r="G850" s="81"/>
      <c r="H850" s="82"/>
      <c r="K850" s="49"/>
      <c r="L850" s="50"/>
      <c r="O850" s="51"/>
    </row>
    <row r="851">
      <c r="C851" s="80"/>
      <c r="F851" s="81"/>
      <c r="G851" s="81"/>
      <c r="H851" s="82"/>
      <c r="K851" s="49"/>
      <c r="L851" s="50"/>
      <c r="O851" s="51"/>
    </row>
    <row r="852">
      <c r="C852" s="80"/>
      <c r="F852" s="81"/>
      <c r="G852" s="81"/>
      <c r="H852" s="82"/>
      <c r="K852" s="49"/>
      <c r="L852" s="50"/>
      <c r="O852" s="51"/>
    </row>
    <row r="853">
      <c r="C853" s="80"/>
      <c r="F853" s="81"/>
      <c r="G853" s="81"/>
      <c r="H853" s="82"/>
      <c r="K853" s="49"/>
      <c r="L853" s="50"/>
      <c r="O853" s="51"/>
    </row>
    <row r="854">
      <c r="C854" s="80"/>
      <c r="F854" s="81"/>
      <c r="G854" s="81"/>
      <c r="H854" s="82"/>
      <c r="K854" s="49"/>
      <c r="L854" s="50"/>
      <c r="O854" s="51"/>
    </row>
    <row r="855">
      <c r="C855" s="80"/>
      <c r="F855" s="81"/>
      <c r="G855" s="81"/>
      <c r="H855" s="82"/>
      <c r="K855" s="49"/>
      <c r="L855" s="50"/>
      <c r="O855" s="51"/>
    </row>
    <row r="856">
      <c r="C856" s="80"/>
      <c r="F856" s="81"/>
      <c r="G856" s="81"/>
      <c r="H856" s="82"/>
      <c r="K856" s="49"/>
      <c r="L856" s="50"/>
      <c r="O856" s="51"/>
    </row>
    <row r="857">
      <c r="C857" s="80"/>
      <c r="F857" s="81"/>
      <c r="G857" s="81"/>
      <c r="H857" s="82"/>
      <c r="K857" s="49"/>
      <c r="L857" s="50"/>
      <c r="O857" s="51"/>
    </row>
    <row r="858">
      <c r="C858" s="80"/>
      <c r="F858" s="81"/>
      <c r="G858" s="81"/>
      <c r="H858" s="82"/>
      <c r="K858" s="49"/>
      <c r="L858" s="50"/>
      <c r="O858" s="51"/>
    </row>
    <row r="859">
      <c r="C859" s="80"/>
      <c r="F859" s="81"/>
      <c r="G859" s="81"/>
      <c r="H859" s="82"/>
      <c r="K859" s="49"/>
      <c r="L859" s="50"/>
      <c r="O859" s="51"/>
    </row>
    <row r="860">
      <c r="C860" s="80"/>
      <c r="F860" s="81"/>
      <c r="G860" s="81"/>
      <c r="H860" s="82"/>
      <c r="K860" s="49"/>
      <c r="L860" s="50"/>
      <c r="O860" s="51"/>
    </row>
    <row r="861">
      <c r="C861" s="80"/>
      <c r="F861" s="81"/>
      <c r="G861" s="81"/>
      <c r="H861" s="82"/>
      <c r="K861" s="49"/>
      <c r="L861" s="50"/>
      <c r="O861" s="51"/>
    </row>
    <row r="862">
      <c r="C862" s="80"/>
      <c r="F862" s="81"/>
      <c r="G862" s="81"/>
      <c r="H862" s="82"/>
      <c r="K862" s="49"/>
      <c r="L862" s="50"/>
      <c r="O862" s="51"/>
    </row>
    <row r="863">
      <c r="C863" s="80"/>
      <c r="F863" s="81"/>
      <c r="G863" s="81"/>
      <c r="H863" s="82"/>
      <c r="K863" s="49"/>
      <c r="L863" s="50"/>
      <c r="O863" s="51"/>
    </row>
    <row r="864">
      <c r="C864" s="80"/>
      <c r="F864" s="81"/>
      <c r="G864" s="81"/>
      <c r="H864" s="82"/>
      <c r="K864" s="49"/>
      <c r="L864" s="50"/>
      <c r="O864" s="51"/>
    </row>
    <row r="865">
      <c r="C865" s="80"/>
      <c r="F865" s="81"/>
      <c r="G865" s="81"/>
      <c r="H865" s="82"/>
      <c r="K865" s="49"/>
      <c r="L865" s="50"/>
      <c r="O865" s="51"/>
    </row>
    <row r="866">
      <c r="C866" s="80"/>
      <c r="F866" s="81"/>
      <c r="G866" s="81"/>
      <c r="H866" s="82"/>
      <c r="K866" s="49"/>
      <c r="L866" s="50"/>
      <c r="O866" s="51"/>
    </row>
    <row r="867">
      <c r="C867" s="80"/>
      <c r="F867" s="81"/>
      <c r="G867" s="81"/>
      <c r="H867" s="82"/>
      <c r="K867" s="49"/>
      <c r="L867" s="50"/>
      <c r="O867" s="51"/>
    </row>
    <row r="868">
      <c r="C868" s="80"/>
      <c r="F868" s="81"/>
      <c r="G868" s="81"/>
      <c r="H868" s="82"/>
      <c r="K868" s="49"/>
      <c r="L868" s="50"/>
      <c r="O868" s="51"/>
    </row>
    <row r="869">
      <c r="C869" s="80"/>
      <c r="F869" s="81"/>
      <c r="G869" s="81"/>
      <c r="H869" s="82"/>
      <c r="K869" s="49"/>
      <c r="L869" s="50"/>
      <c r="O869" s="51"/>
    </row>
    <row r="870">
      <c r="C870" s="80"/>
      <c r="F870" s="81"/>
      <c r="G870" s="81"/>
      <c r="H870" s="82"/>
      <c r="K870" s="49"/>
      <c r="L870" s="50"/>
      <c r="O870" s="51"/>
    </row>
    <row r="871">
      <c r="C871" s="80"/>
      <c r="F871" s="81"/>
      <c r="G871" s="81"/>
      <c r="H871" s="82"/>
      <c r="K871" s="49"/>
      <c r="L871" s="50"/>
      <c r="O871" s="51"/>
    </row>
    <row r="872">
      <c r="C872" s="80"/>
      <c r="F872" s="81"/>
      <c r="G872" s="81"/>
      <c r="H872" s="82"/>
      <c r="K872" s="49"/>
      <c r="L872" s="50"/>
      <c r="O872" s="51"/>
    </row>
    <row r="873">
      <c r="C873" s="80"/>
      <c r="F873" s="81"/>
      <c r="G873" s="81"/>
      <c r="H873" s="82"/>
      <c r="K873" s="49"/>
      <c r="L873" s="50"/>
      <c r="O873" s="51"/>
    </row>
    <row r="874">
      <c r="C874" s="80"/>
      <c r="F874" s="81"/>
      <c r="G874" s="81"/>
      <c r="H874" s="82"/>
      <c r="K874" s="49"/>
      <c r="L874" s="50"/>
      <c r="O874" s="51"/>
    </row>
    <row r="875">
      <c r="C875" s="80"/>
      <c r="F875" s="81"/>
      <c r="G875" s="81"/>
      <c r="H875" s="82"/>
      <c r="K875" s="49"/>
      <c r="L875" s="50"/>
      <c r="O875" s="51"/>
    </row>
    <row r="876">
      <c r="C876" s="80"/>
      <c r="F876" s="81"/>
      <c r="G876" s="81"/>
      <c r="H876" s="82"/>
      <c r="K876" s="49"/>
      <c r="L876" s="50"/>
      <c r="O876" s="51"/>
    </row>
    <row r="877">
      <c r="C877" s="80"/>
      <c r="F877" s="81"/>
      <c r="G877" s="81"/>
      <c r="H877" s="82"/>
      <c r="K877" s="49"/>
      <c r="L877" s="50"/>
      <c r="O877" s="51"/>
    </row>
    <row r="878">
      <c r="C878" s="80"/>
      <c r="F878" s="81"/>
      <c r="G878" s="81"/>
      <c r="H878" s="82"/>
      <c r="K878" s="49"/>
      <c r="L878" s="50"/>
      <c r="O878" s="51"/>
    </row>
    <row r="879">
      <c r="C879" s="80"/>
      <c r="F879" s="81"/>
      <c r="G879" s="81"/>
      <c r="H879" s="82"/>
      <c r="K879" s="49"/>
      <c r="L879" s="50"/>
      <c r="O879" s="51"/>
    </row>
    <row r="880">
      <c r="C880" s="80"/>
      <c r="F880" s="81"/>
      <c r="G880" s="81"/>
      <c r="H880" s="82"/>
      <c r="K880" s="49"/>
      <c r="L880" s="50"/>
      <c r="O880" s="51"/>
    </row>
    <row r="881">
      <c r="C881" s="80"/>
      <c r="F881" s="81"/>
      <c r="G881" s="81"/>
      <c r="H881" s="82"/>
      <c r="K881" s="49"/>
      <c r="L881" s="50"/>
      <c r="O881" s="51"/>
    </row>
    <row r="882">
      <c r="C882" s="80"/>
      <c r="F882" s="81"/>
      <c r="G882" s="81"/>
      <c r="H882" s="82"/>
      <c r="K882" s="49"/>
      <c r="L882" s="50"/>
      <c r="O882" s="51"/>
    </row>
    <row r="883">
      <c r="C883" s="80"/>
      <c r="F883" s="81"/>
      <c r="G883" s="81"/>
      <c r="H883" s="82"/>
      <c r="K883" s="49"/>
      <c r="L883" s="50"/>
      <c r="O883" s="51"/>
    </row>
    <row r="884">
      <c r="C884" s="80"/>
      <c r="F884" s="81"/>
      <c r="G884" s="81"/>
      <c r="H884" s="82"/>
      <c r="K884" s="49"/>
      <c r="L884" s="50"/>
      <c r="O884" s="51"/>
    </row>
    <row r="885">
      <c r="C885" s="80"/>
      <c r="F885" s="81"/>
      <c r="G885" s="81"/>
      <c r="H885" s="82"/>
      <c r="K885" s="49"/>
      <c r="L885" s="50"/>
      <c r="O885" s="51"/>
    </row>
    <row r="886">
      <c r="C886" s="80"/>
      <c r="F886" s="81"/>
      <c r="G886" s="81"/>
      <c r="H886" s="82"/>
      <c r="K886" s="49"/>
      <c r="L886" s="50"/>
      <c r="O886" s="51"/>
    </row>
    <row r="887">
      <c r="C887" s="80"/>
      <c r="F887" s="81"/>
      <c r="G887" s="81"/>
      <c r="H887" s="82"/>
      <c r="K887" s="49"/>
      <c r="L887" s="50"/>
      <c r="O887" s="51"/>
    </row>
    <row r="888">
      <c r="C888" s="80"/>
      <c r="F888" s="81"/>
      <c r="G888" s="81"/>
      <c r="H888" s="82"/>
      <c r="K888" s="49"/>
      <c r="L888" s="50"/>
      <c r="O888" s="51"/>
    </row>
    <row r="889">
      <c r="C889" s="80"/>
      <c r="F889" s="81"/>
      <c r="G889" s="81"/>
      <c r="H889" s="82"/>
      <c r="K889" s="49"/>
      <c r="L889" s="50"/>
      <c r="O889" s="51"/>
    </row>
    <row r="890">
      <c r="C890" s="80"/>
      <c r="F890" s="81"/>
      <c r="G890" s="81"/>
      <c r="H890" s="82"/>
      <c r="K890" s="49"/>
      <c r="L890" s="50"/>
      <c r="O890" s="51"/>
    </row>
    <row r="891">
      <c r="C891" s="80"/>
      <c r="F891" s="81"/>
      <c r="G891" s="81"/>
      <c r="H891" s="82"/>
      <c r="K891" s="49"/>
      <c r="L891" s="50"/>
      <c r="O891" s="51"/>
    </row>
    <row r="892">
      <c r="C892" s="80"/>
      <c r="F892" s="81"/>
      <c r="G892" s="81"/>
      <c r="H892" s="82"/>
      <c r="K892" s="49"/>
      <c r="L892" s="50"/>
      <c r="O892" s="51"/>
    </row>
    <row r="893">
      <c r="C893" s="80"/>
      <c r="F893" s="81"/>
      <c r="G893" s="81"/>
      <c r="H893" s="82"/>
      <c r="K893" s="49"/>
      <c r="L893" s="50"/>
      <c r="O893" s="51"/>
    </row>
    <row r="894">
      <c r="C894" s="80"/>
      <c r="F894" s="81"/>
      <c r="G894" s="81"/>
      <c r="H894" s="82"/>
      <c r="K894" s="49"/>
      <c r="L894" s="50"/>
      <c r="O894" s="51"/>
    </row>
    <row r="895">
      <c r="C895" s="80"/>
      <c r="F895" s="81"/>
      <c r="G895" s="81"/>
      <c r="H895" s="82"/>
      <c r="K895" s="49"/>
      <c r="L895" s="50"/>
      <c r="O895" s="51"/>
    </row>
    <row r="896">
      <c r="C896" s="80"/>
      <c r="F896" s="81"/>
      <c r="G896" s="81"/>
      <c r="H896" s="82"/>
      <c r="K896" s="49"/>
      <c r="L896" s="50"/>
      <c r="O896" s="51"/>
    </row>
    <row r="897">
      <c r="C897" s="80"/>
      <c r="F897" s="81"/>
      <c r="G897" s="81"/>
      <c r="H897" s="82"/>
      <c r="K897" s="49"/>
      <c r="L897" s="50"/>
      <c r="O897" s="51"/>
    </row>
    <row r="898">
      <c r="C898" s="80"/>
      <c r="F898" s="81"/>
      <c r="G898" s="81"/>
      <c r="H898" s="82"/>
      <c r="K898" s="49"/>
      <c r="L898" s="50"/>
      <c r="O898" s="51"/>
    </row>
    <row r="899">
      <c r="C899" s="80"/>
      <c r="F899" s="81"/>
      <c r="G899" s="81"/>
      <c r="H899" s="82"/>
      <c r="K899" s="49"/>
      <c r="L899" s="50"/>
      <c r="O899" s="51"/>
    </row>
    <row r="900">
      <c r="C900" s="80"/>
      <c r="F900" s="81"/>
      <c r="G900" s="81"/>
      <c r="H900" s="82"/>
      <c r="K900" s="49"/>
      <c r="L900" s="50"/>
      <c r="O900" s="51"/>
    </row>
    <row r="901">
      <c r="C901" s="80"/>
      <c r="F901" s="81"/>
      <c r="G901" s="81"/>
      <c r="H901" s="82"/>
      <c r="K901" s="49"/>
      <c r="L901" s="50"/>
      <c r="O901" s="51"/>
    </row>
    <row r="902">
      <c r="C902" s="80"/>
      <c r="F902" s="81"/>
      <c r="G902" s="81"/>
      <c r="H902" s="82"/>
      <c r="K902" s="49"/>
      <c r="L902" s="50"/>
      <c r="O902" s="51"/>
    </row>
    <row r="903">
      <c r="C903" s="80"/>
      <c r="F903" s="81"/>
      <c r="G903" s="81"/>
      <c r="H903" s="82"/>
      <c r="K903" s="49"/>
      <c r="L903" s="50"/>
      <c r="O903" s="51"/>
    </row>
    <row r="904">
      <c r="C904" s="80"/>
      <c r="F904" s="81"/>
      <c r="G904" s="81"/>
      <c r="H904" s="82"/>
      <c r="K904" s="49"/>
      <c r="L904" s="50"/>
      <c r="O904" s="51"/>
    </row>
    <row r="905">
      <c r="C905" s="80"/>
      <c r="F905" s="81"/>
      <c r="G905" s="81"/>
      <c r="H905" s="82"/>
      <c r="K905" s="49"/>
      <c r="L905" s="50"/>
      <c r="O905" s="51"/>
    </row>
    <row r="906">
      <c r="C906" s="80"/>
      <c r="F906" s="81"/>
      <c r="G906" s="81"/>
      <c r="H906" s="82"/>
      <c r="K906" s="49"/>
      <c r="L906" s="50"/>
      <c r="O906" s="51"/>
    </row>
    <row r="907">
      <c r="C907" s="80"/>
      <c r="F907" s="81"/>
      <c r="G907" s="81"/>
      <c r="H907" s="82"/>
      <c r="K907" s="49"/>
      <c r="L907" s="50"/>
      <c r="O907" s="51"/>
    </row>
    <row r="908">
      <c r="C908" s="80"/>
      <c r="F908" s="81"/>
      <c r="G908" s="81"/>
      <c r="H908" s="82"/>
      <c r="K908" s="49"/>
      <c r="L908" s="50"/>
      <c r="O908" s="51"/>
    </row>
    <row r="909">
      <c r="C909" s="80"/>
      <c r="F909" s="81"/>
      <c r="G909" s="81"/>
      <c r="H909" s="82"/>
      <c r="K909" s="49"/>
      <c r="L909" s="50"/>
      <c r="O909" s="51"/>
    </row>
    <row r="910">
      <c r="C910" s="80"/>
      <c r="F910" s="81"/>
      <c r="G910" s="81"/>
      <c r="H910" s="82"/>
      <c r="K910" s="49"/>
      <c r="L910" s="50"/>
      <c r="O910" s="51"/>
    </row>
    <row r="911">
      <c r="C911" s="80"/>
      <c r="F911" s="81"/>
      <c r="G911" s="81"/>
      <c r="H911" s="82"/>
      <c r="K911" s="49"/>
      <c r="L911" s="50"/>
      <c r="O911" s="51"/>
    </row>
    <row r="912">
      <c r="C912" s="80"/>
      <c r="F912" s="81"/>
      <c r="G912" s="81"/>
      <c r="H912" s="82"/>
      <c r="K912" s="49"/>
      <c r="L912" s="50"/>
      <c r="O912" s="51"/>
    </row>
    <row r="913">
      <c r="C913" s="80"/>
      <c r="F913" s="81"/>
      <c r="G913" s="81"/>
      <c r="H913" s="82"/>
      <c r="K913" s="49"/>
      <c r="L913" s="50"/>
      <c r="O913" s="51"/>
    </row>
    <row r="914">
      <c r="C914" s="80"/>
      <c r="F914" s="81"/>
      <c r="G914" s="81"/>
      <c r="H914" s="82"/>
      <c r="K914" s="49"/>
      <c r="L914" s="50"/>
      <c r="O914" s="51"/>
    </row>
    <row r="915">
      <c r="C915" s="80"/>
      <c r="F915" s="81"/>
      <c r="G915" s="81"/>
      <c r="H915" s="82"/>
      <c r="K915" s="49"/>
      <c r="L915" s="50"/>
      <c r="O915" s="51"/>
    </row>
    <row r="916">
      <c r="C916" s="80"/>
      <c r="F916" s="81"/>
      <c r="G916" s="81"/>
      <c r="H916" s="82"/>
      <c r="K916" s="49"/>
      <c r="L916" s="50"/>
      <c r="O916" s="51"/>
    </row>
    <row r="917">
      <c r="C917" s="80"/>
      <c r="F917" s="81"/>
      <c r="G917" s="81"/>
      <c r="H917" s="82"/>
      <c r="K917" s="49"/>
      <c r="L917" s="50"/>
      <c r="O917" s="51"/>
    </row>
    <row r="918">
      <c r="C918" s="80"/>
      <c r="F918" s="81"/>
      <c r="G918" s="81"/>
      <c r="H918" s="82"/>
      <c r="K918" s="49"/>
      <c r="L918" s="50"/>
      <c r="O918" s="51"/>
    </row>
    <row r="919">
      <c r="C919" s="80"/>
      <c r="F919" s="81"/>
      <c r="G919" s="81"/>
      <c r="H919" s="82"/>
      <c r="K919" s="49"/>
      <c r="L919" s="50"/>
      <c r="O919" s="51"/>
    </row>
    <row r="920">
      <c r="C920" s="80"/>
      <c r="F920" s="81"/>
      <c r="G920" s="81"/>
      <c r="H920" s="82"/>
      <c r="K920" s="49"/>
      <c r="L920" s="50"/>
      <c r="O920" s="51"/>
    </row>
    <row r="921">
      <c r="C921" s="80"/>
      <c r="F921" s="81"/>
      <c r="G921" s="81"/>
      <c r="H921" s="82"/>
      <c r="K921" s="49"/>
      <c r="L921" s="50"/>
      <c r="O921" s="51"/>
    </row>
    <row r="922">
      <c r="C922" s="80"/>
      <c r="F922" s="81"/>
      <c r="G922" s="81"/>
      <c r="H922" s="82"/>
      <c r="K922" s="49"/>
      <c r="L922" s="50"/>
      <c r="O922" s="51"/>
    </row>
    <row r="923">
      <c r="C923" s="80"/>
      <c r="F923" s="81"/>
      <c r="G923" s="81"/>
      <c r="H923" s="82"/>
      <c r="K923" s="49"/>
      <c r="L923" s="50"/>
      <c r="O923" s="51"/>
    </row>
    <row r="924">
      <c r="C924" s="80"/>
      <c r="F924" s="81"/>
      <c r="G924" s="81"/>
      <c r="H924" s="82"/>
      <c r="K924" s="49"/>
      <c r="L924" s="50"/>
      <c r="O924" s="51"/>
    </row>
    <row r="925">
      <c r="C925" s="80"/>
      <c r="F925" s="81"/>
      <c r="G925" s="81"/>
      <c r="H925" s="82"/>
      <c r="K925" s="49"/>
      <c r="L925" s="50"/>
      <c r="O925" s="51"/>
    </row>
    <row r="926">
      <c r="C926" s="80"/>
      <c r="F926" s="81"/>
      <c r="G926" s="81"/>
      <c r="H926" s="82"/>
      <c r="K926" s="49"/>
      <c r="L926" s="50"/>
      <c r="O926" s="51"/>
    </row>
    <row r="927">
      <c r="C927" s="80"/>
      <c r="F927" s="81"/>
      <c r="G927" s="81"/>
      <c r="H927" s="82"/>
      <c r="K927" s="49"/>
      <c r="L927" s="50"/>
      <c r="O927" s="51"/>
    </row>
    <row r="928">
      <c r="C928" s="80"/>
      <c r="F928" s="81"/>
      <c r="G928" s="81"/>
      <c r="H928" s="82"/>
      <c r="K928" s="49"/>
      <c r="L928" s="50"/>
      <c r="O928" s="51"/>
    </row>
    <row r="929">
      <c r="C929" s="80"/>
      <c r="F929" s="81"/>
      <c r="G929" s="81"/>
      <c r="H929" s="82"/>
      <c r="K929" s="49"/>
      <c r="L929" s="50"/>
      <c r="O929" s="51"/>
    </row>
    <row r="930">
      <c r="C930" s="80"/>
      <c r="F930" s="81"/>
      <c r="G930" s="81"/>
      <c r="H930" s="82"/>
      <c r="K930" s="49"/>
      <c r="L930" s="50"/>
      <c r="O930" s="51"/>
    </row>
    <row r="931">
      <c r="C931" s="80"/>
      <c r="F931" s="81"/>
      <c r="G931" s="81"/>
      <c r="H931" s="82"/>
      <c r="K931" s="49"/>
      <c r="L931" s="50"/>
      <c r="O931" s="51"/>
    </row>
    <row r="932">
      <c r="C932" s="80"/>
      <c r="F932" s="81"/>
      <c r="G932" s="81"/>
      <c r="H932" s="82"/>
      <c r="K932" s="49"/>
      <c r="L932" s="50"/>
      <c r="O932" s="51"/>
    </row>
    <row r="933">
      <c r="C933" s="80"/>
      <c r="F933" s="81"/>
      <c r="G933" s="81"/>
      <c r="H933" s="82"/>
      <c r="K933" s="49"/>
      <c r="L933" s="50"/>
      <c r="O933" s="51"/>
    </row>
    <row r="934">
      <c r="C934" s="80"/>
      <c r="F934" s="81"/>
      <c r="G934" s="81"/>
      <c r="H934" s="82"/>
      <c r="K934" s="49"/>
      <c r="L934" s="50"/>
      <c r="O934" s="51"/>
    </row>
    <row r="935">
      <c r="C935" s="80"/>
      <c r="F935" s="81"/>
      <c r="G935" s="81"/>
      <c r="H935" s="82"/>
      <c r="K935" s="49"/>
      <c r="L935" s="50"/>
      <c r="O935" s="51"/>
    </row>
    <row r="936">
      <c r="C936" s="80"/>
      <c r="F936" s="81"/>
      <c r="G936" s="81"/>
      <c r="H936" s="82"/>
      <c r="K936" s="49"/>
      <c r="L936" s="50"/>
      <c r="O936" s="51"/>
    </row>
    <row r="937">
      <c r="C937" s="80"/>
      <c r="F937" s="81"/>
      <c r="G937" s="81"/>
      <c r="H937" s="82"/>
      <c r="K937" s="49"/>
      <c r="L937" s="50"/>
      <c r="O937" s="51"/>
    </row>
    <row r="938">
      <c r="C938" s="80"/>
      <c r="F938" s="81"/>
      <c r="G938" s="81"/>
      <c r="H938" s="82"/>
      <c r="K938" s="49"/>
      <c r="L938" s="50"/>
      <c r="O938" s="51"/>
    </row>
    <row r="939">
      <c r="C939" s="80"/>
      <c r="F939" s="81"/>
      <c r="G939" s="81"/>
      <c r="H939" s="82"/>
      <c r="K939" s="49"/>
      <c r="L939" s="50"/>
      <c r="O939" s="51"/>
    </row>
    <row r="940">
      <c r="C940" s="80"/>
      <c r="F940" s="81"/>
      <c r="G940" s="81"/>
      <c r="H940" s="82"/>
      <c r="K940" s="49"/>
      <c r="L940" s="50"/>
      <c r="O940" s="51"/>
    </row>
    <row r="941">
      <c r="C941" s="80"/>
      <c r="F941" s="81"/>
      <c r="G941" s="81"/>
      <c r="H941" s="82"/>
      <c r="K941" s="49"/>
      <c r="L941" s="50"/>
      <c r="O941" s="51"/>
    </row>
    <row r="942">
      <c r="C942" s="80"/>
      <c r="F942" s="81"/>
      <c r="G942" s="81"/>
      <c r="H942" s="82"/>
      <c r="K942" s="49"/>
      <c r="L942" s="50"/>
      <c r="O942" s="51"/>
    </row>
    <row r="943">
      <c r="C943" s="80"/>
      <c r="F943" s="81"/>
      <c r="G943" s="81"/>
      <c r="H943" s="82"/>
      <c r="K943" s="49"/>
      <c r="L943" s="50"/>
      <c r="O943" s="51"/>
    </row>
    <row r="944">
      <c r="C944" s="80"/>
      <c r="F944" s="81"/>
      <c r="G944" s="81"/>
      <c r="H944" s="82"/>
      <c r="K944" s="49"/>
      <c r="L944" s="50"/>
      <c r="O944" s="51"/>
    </row>
    <row r="945">
      <c r="C945" s="80"/>
      <c r="F945" s="81"/>
      <c r="G945" s="81"/>
      <c r="H945" s="82"/>
      <c r="K945" s="49"/>
      <c r="L945" s="50"/>
      <c r="O945" s="51"/>
    </row>
    <row r="946">
      <c r="C946" s="80"/>
      <c r="F946" s="81"/>
      <c r="G946" s="81"/>
      <c r="H946" s="82"/>
      <c r="K946" s="49"/>
      <c r="L946" s="50"/>
      <c r="O946" s="51"/>
    </row>
    <row r="947">
      <c r="C947" s="80"/>
      <c r="F947" s="81"/>
      <c r="G947" s="81"/>
      <c r="H947" s="82"/>
      <c r="K947" s="49"/>
      <c r="L947" s="50"/>
      <c r="O947" s="51"/>
    </row>
    <row r="948">
      <c r="C948" s="80"/>
      <c r="F948" s="81"/>
      <c r="G948" s="81"/>
      <c r="H948" s="82"/>
      <c r="K948" s="49"/>
      <c r="L948" s="50"/>
      <c r="O948" s="51"/>
    </row>
    <row r="949">
      <c r="C949" s="80"/>
      <c r="F949" s="81"/>
      <c r="G949" s="81"/>
      <c r="H949" s="82"/>
      <c r="K949" s="49"/>
      <c r="L949" s="50"/>
      <c r="O949" s="51"/>
    </row>
    <row r="950">
      <c r="C950" s="80"/>
      <c r="F950" s="81"/>
      <c r="G950" s="81"/>
      <c r="H950" s="82"/>
      <c r="K950" s="49"/>
      <c r="L950" s="50"/>
      <c r="O950" s="51"/>
    </row>
    <row r="951">
      <c r="C951" s="80"/>
      <c r="F951" s="81"/>
      <c r="G951" s="81"/>
      <c r="H951" s="82"/>
      <c r="K951" s="49"/>
      <c r="L951" s="50"/>
      <c r="O951" s="51"/>
    </row>
    <row r="952">
      <c r="C952" s="80"/>
      <c r="F952" s="81"/>
      <c r="G952" s="81"/>
      <c r="H952" s="82"/>
      <c r="K952" s="49"/>
      <c r="L952" s="50"/>
      <c r="O952" s="51"/>
    </row>
    <row r="953">
      <c r="C953" s="80"/>
      <c r="F953" s="81"/>
      <c r="G953" s="81"/>
      <c r="H953" s="82"/>
      <c r="K953" s="49"/>
      <c r="L953" s="50"/>
      <c r="O953" s="51"/>
    </row>
    <row r="954">
      <c r="C954" s="80"/>
      <c r="F954" s="81"/>
      <c r="G954" s="81"/>
      <c r="H954" s="82"/>
      <c r="K954" s="49"/>
      <c r="L954" s="50"/>
      <c r="O954" s="51"/>
    </row>
    <row r="955">
      <c r="C955" s="80"/>
      <c r="F955" s="81"/>
      <c r="G955" s="81"/>
      <c r="H955" s="82"/>
      <c r="K955" s="49"/>
      <c r="L955" s="50"/>
      <c r="O955" s="51"/>
    </row>
    <row r="956">
      <c r="C956" s="80"/>
      <c r="F956" s="81"/>
      <c r="G956" s="81"/>
      <c r="H956" s="82"/>
      <c r="K956" s="49"/>
      <c r="L956" s="50"/>
      <c r="O956" s="51"/>
    </row>
    <row r="957">
      <c r="C957" s="80"/>
      <c r="F957" s="81"/>
      <c r="G957" s="81"/>
      <c r="H957" s="82"/>
      <c r="K957" s="49"/>
      <c r="L957" s="50"/>
      <c r="O957" s="51"/>
    </row>
    <row r="958">
      <c r="C958" s="80"/>
      <c r="F958" s="81"/>
      <c r="G958" s="81"/>
      <c r="H958" s="82"/>
      <c r="K958" s="49"/>
      <c r="L958" s="50"/>
      <c r="O958" s="51"/>
    </row>
    <row r="959">
      <c r="C959" s="80"/>
      <c r="F959" s="81"/>
      <c r="G959" s="81"/>
      <c r="H959" s="82"/>
      <c r="K959" s="49"/>
      <c r="L959" s="50"/>
      <c r="O959" s="51"/>
    </row>
    <row r="960">
      <c r="C960" s="80"/>
      <c r="F960" s="81"/>
      <c r="G960" s="81"/>
      <c r="H960" s="82"/>
      <c r="K960" s="49"/>
      <c r="L960" s="50"/>
      <c r="O960" s="51"/>
    </row>
    <row r="961">
      <c r="C961" s="80"/>
      <c r="F961" s="81"/>
      <c r="G961" s="81"/>
      <c r="H961" s="82"/>
      <c r="K961" s="49"/>
      <c r="L961" s="50"/>
      <c r="O961" s="51"/>
    </row>
    <row r="962">
      <c r="C962" s="80"/>
      <c r="F962" s="81"/>
      <c r="G962" s="81"/>
      <c r="H962" s="82"/>
      <c r="K962" s="49"/>
      <c r="L962" s="50"/>
      <c r="O962" s="51"/>
    </row>
    <row r="963">
      <c r="C963" s="80"/>
      <c r="F963" s="81"/>
      <c r="G963" s="81"/>
      <c r="H963" s="82"/>
      <c r="K963" s="49"/>
      <c r="L963" s="50"/>
      <c r="O963" s="51"/>
    </row>
    <row r="964">
      <c r="C964" s="80"/>
      <c r="F964" s="81"/>
      <c r="G964" s="81"/>
      <c r="H964" s="82"/>
      <c r="K964" s="49"/>
      <c r="L964" s="50"/>
      <c r="O964" s="51"/>
    </row>
    <row r="965">
      <c r="C965" s="80"/>
      <c r="F965" s="81"/>
      <c r="G965" s="81"/>
      <c r="H965" s="82"/>
      <c r="K965" s="49"/>
      <c r="L965" s="50"/>
      <c r="O965" s="51"/>
    </row>
    <row r="966">
      <c r="C966" s="80"/>
      <c r="F966" s="81"/>
      <c r="G966" s="81"/>
      <c r="H966" s="82"/>
      <c r="K966" s="49"/>
      <c r="L966" s="50"/>
      <c r="O966" s="51"/>
    </row>
    <row r="967">
      <c r="C967" s="80"/>
      <c r="F967" s="81"/>
      <c r="G967" s="81"/>
      <c r="H967" s="82"/>
      <c r="K967" s="49"/>
      <c r="L967" s="50"/>
      <c r="O967" s="51"/>
    </row>
    <row r="968">
      <c r="C968" s="80"/>
      <c r="F968" s="81"/>
      <c r="G968" s="81"/>
      <c r="H968" s="82"/>
      <c r="K968" s="49"/>
      <c r="L968" s="50"/>
      <c r="O968" s="51"/>
    </row>
    <row r="969">
      <c r="C969" s="80"/>
      <c r="F969" s="81"/>
      <c r="G969" s="81"/>
      <c r="H969" s="82"/>
      <c r="K969" s="49"/>
      <c r="L969" s="50"/>
      <c r="O969" s="51"/>
    </row>
    <row r="970">
      <c r="C970" s="80"/>
      <c r="F970" s="81"/>
      <c r="G970" s="81"/>
      <c r="H970" s="82"/>
      <c r="K970" s="49"/>
      <c r="L970" s="50"/>
      <c r="O970" s="51"/>
    </row>
    <row r="971">
      <c r="C971" s="80"/>
      <c r="F971" s="81"/>
      <c r="G971" s="81"/>
      <c r="H971" s="82"/>
      <c r="K971" s="49"/>
      <c r="L971" s="50"/>
      <c r="O971" s="51"/>
    </row>
    <row r="972">
      <c r="C972" s="80"/>
      <c r="F972" s="81"/>
      <c r="G972" s="81"/>
      <c r="H972" s="82"/>
      <c r="K972" s="49"/>
      <c r="L972" s="50"/>
      <c r="O972" s="51"/>
    </row>
    <row r="973">
      <c r="C973" s="80"/>
      <c r="F973" s="81"/>
      <c r="G973" s="81"/>
      <c r="H973" s="82"/>
      <c r="K973" s="49"/>
      <c r="L973" s="50"/>
      <c r="O973" s="51"/>
    </row>
    <row r="974">
      <c r="C974" s="80"/>
      <c r="F974" s="81"/>
      <c r="G974" s="81"/>
      <c r="H974" s="82"/>
      <c r="K974" s="49"/>
      <c r="L974" s="50"/>
      <c r="O974" s="51"/>
    </row>
    <row r="975">
      <c r="C975" s="80"/>
      <c r="F975" s="81"/>
      <c r="G975" s="81"/>
      <c r="H975" s="82"/>
      <c r="K975" s="49"/>
      <c r="L975" s="50"/>
      <c r="O975" s="51"/>
    </row>
    <row r="976">
      <c r="C976" s="80"/>
      <c r="F976" s="81"/>
      <c r="G976" s="81"/>
      <c r="H976" s="82"/>
      <c r="K976" s="49"/>
      <c r="L976" s="50"/>
      <c r="O976" s="51"/>
    </row>
    <row r="977">
      <c r="C977" s="80"/>
      <c r="F977" s="81"/>
      <c r="G977" s="81"/>
      <c r="H977" s="82"/>
      <c r="K977" s="49"/>
      <c r="L977" s="50"/>
      <c r="O977" s="51"/>
    </row>
    <row r="978">
      <c r="C978" s="80"/>
      <c r="F978" s="81"/>
      <c r="G978" s="81"/>
      <c r="H978" s="82"/>
      <c r="K978" s="49"/>
      <c r="L978" s="50"/>
      <c r="O978" s="51"/>
    </row>
    <row r="979">
      <c r="C979" s="80"/>
      <c r="F979" s="81"/>
      <c r="G979" s="81"/>
      <c r="H979" s="82"/>
      <c r="K979" s="49"/>
      <c r="L979" s="50"/>
      <c r="O979" s="51"/>
    </row>
    <row r="980">
      <c r="C980" s="80"/>
      <c r="F980" s="81"/>
      <c r="G980" s="81"/>
      <c r="H980" s="82"/>
      <c r="K980" s="49"/>
      <c r="L980" s="50"/>
      <c r="O980" s="51"/>
    </row>
    <row r="981">
      <c r="C981" s="80"/>
      <c r="F981" s="81"/>
      <c r="G981" s="81"/>
      <c r="H981" s="82"/>
      <c r="K981" s="49"/>
      <c r="L981" s="50"/>
      <c r="O981" s="51"/>
    </row>
    <row r="982">
      <c r="C982" s="80"/>
      <c r="F982" s="81"/>
      <c r="G982" s="81"/>
      <c r="H982" s="82"/>
      <c r="K982" s="49"/>
      <c r="L982" s="50"/>
      <c r="O982" s="51"/>
    </row>
    <row r="983">
      <c r="C983" s="80"/>
      <c r="F983" s="81"/>
      <c r="G983" s="81"/>
      <c r="H983" s="82"/>
      <c r="K983" s="49"/>
      <c r="L983" s="50"/>
      <c r="O983" s="51"/>
    </row>
    <row r="984">
      <c r="C984" s="80"/>
      <c r="F984" s="81"/>
      <c r="G984" s="81"/>
      <c r="H984" s="82"/>
      <c r="K984" s="49"/>
      <c r="L984" s="50"/>
      <c r="O984" s="51"/>
    </row>
    <row r="985">
      <c r="C985" s="80"/>
      <c r="F985" s="81"/>
      <c r="G985" s="81"/>
      <c r="H985" s="82"/>
      <c r="K985" s="49"/>
      <c r="L985" s="50"/>
      <c r="O985" s="51"/>
    </row>
    <row r="986">
      <c r="C986" s="80"/>
      <c r="F986" s="81"/>
      <c r="G986" s="81"/>
      <c r="H986" s="82"/>
      <c r="K986" s="49"/>
      <c r="L986" s="50"/>
      <c r="O986" s="51"/>
    </row>
    <row r="987">
      <c r="C987" s="80"/>
      <c r="F987" s="81"/>
      <c r="G987" s="81"/>
      <c r="H987" s="82"/>
      <c r="K987" s="49"/>
      <c r="L987" s="50"/>
      <c r="O987" s="51"/>
    </row>
    <row r="988">
      <c r="C988" s="80"/>
      <c r="F988" s="81"/>
      <c r="G988" s="81"/>
      <c r="H988" s="82"/>
      <c r="K988" s="49"/>
      <c r="L988" s="50"/>
      <c r="O988" s="51"/>
    </row>
    <row r="989">
      <c r="C989" s="80"/>
      <c r="F989" s="81"/>
      <c r="G989" s="81"/>
      <c r="H989" s="82"/>
      <c r="K989" s="49"/>
      <c r="L989" s="50"/>
      <c r="O989" s="51"/>
    </row>
    <row r="990">
      <c r="C990" s="80"/>
      <c r="F990" s="81"/>
      <c r="G990" s="81"/>
      <c r="H990" s="82"/>
      <c r="K990" s="49"/>
      <c r="L990" s="50"/>
      <c r="O990" s="51"/>
    </row>
    <row r="991">
      <c r="C991" s="80"/>
      <c r="F991" s="81"/>
      <c r="G991" s="81"/>
      <c r="H991" s="82"/>
      <c r="K991" s="49"/>
      <c r="L991" s="50"/>
      <c r="O991" s="51"/>
    </row>
    <row r="992">
      <c r="C992" s="80"/>
      <c r="F992" s="81"/>
      <c r="G992" s="81"/>
      <c r="H992" s="82"/>
      <c r="K992" s="49"/>
      <c r="L992" s="50"/>
      <c r="O992" s="51"/>
    </row>
    <row r="993">
      <c r="C993" s="80"/>
      <c r="F993" s="81"/>
      <c r="G993" s="81"/>
      <c r="H993" s="82"/>
      <c r="K993" s="49"/>
      <c r="L993" s="50"/>
      <c r="O993" s="51"/>
    </row>
    <row r="994">
      <c r="C994" s="80"/>
      <c r="F994" s="81"/>
      <c r="G994" s="81"/>
      <c r="H994" s="82"/>
      <c r="K994" s="49"/>
      <c r="L994" s="50"/>
      <c r="O994" s="51"/>
    </row>
    <row r="995">
      <c r="C995" s="80"/>
      <c r="F995" s="81"/>
      <c r="G995" s="81"/>
      <c r="H995" s="82"/>
      <c r="K995" s="49"/>
      <c r="L995" s="50"/>
      <c r="O995" s="51"/>
    </row>
    <row r="996">
      <c r="C996" s="80"/>
      <c r="F996" s="81"/>
      <c r="G996" s="81"/>
      <c r="H996" s="82"/>
      <c r="K996" s="49"/>
      <c r="L996" s="50"/>
      <c r="O996" s="51"/>
    </row>
    <row r="997">
      <c r="C997" s="80"/>
      <c r="F997" s="81"/>
      <c r="G997" s="81"/>
      <c r="H997" s="82"/>
      <c r="K997" s="49"/>
      <c r="L997" s="50"/>
      <c r="O997" s="51"/>
    </row>
    <row r="998">
      <c r="C998" s="80"/>
      <c r="F998" s="81"/>
      <c r="G998" s="81"/>
      <c r="H998" s="82"/>
      <c r="K998" s="49"/>
      <c r="L998" s="50"/>
      <c r="O998" s="51"/>
    </row>
    <row r="999">
      <c r="C999" s="80"/>
      <c r="F999" s="81"/>
      <c r="G999" s="81"/>
      <c r="H999" s="82"/>
      <c r="K999" s="49"/>
      <c r="L999" s="50"/>
      <c r="O999" s="51"/>
    </row>
  </sheetData>
  <mergeCells count="3">
    <mergeCell ref="H27:H31"/>
    <mergeCell ref="H32:H36"/>
    <mergeCell ref="H37:H41"/>
  </mergeCells>
  <drawing r:id="rId1"/>
</worksheet>
</file>